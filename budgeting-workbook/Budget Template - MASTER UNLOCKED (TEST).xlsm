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showInkAnnotation="0" codeName="ThisWorkbook" defaultThemeVersion="166925"/>
  <mc:AlternateContent xmlns:mc="http://schemas.openxmlformats.org/markup-compatibility/2006">
    <mc:Choice Requires="x15">
      <x15ac:absPath xmlns:x15ac="http://schemas.microsoft.com/office/spreadsheetml/2010/11/ac" url="https://bscforensics-my.sharepoint.com/personal/gmunos_bscforensics_com/Documents/Desktop/"/>
    </mc:Choice>
  </mc:AlternateContent>
  <xr:revisionPtr revIDLastSave="538" documentId="13_ncr:1_{4299C047-B367-4820-BFE5-41DB9C514798}" xr6:coauthVersionLast="47" xr6:coauthVersionMax="47" xr10:uidLastSave="{74B49314-97CA-4EC6-B7C7-6833DD20AF47}"/>
  <bookViews>
    <workbookView xWindow="-96" yWindow="0" windowWidth="30912" windowHeight="16656" tabRatio="992" activeTab="7" xr2:uid="{E46996ED-8187-4E17-B064-29C180F77852}"/>
  </bookViews>
  <sheets>
    <sheet name="BUDGET" sheetId="4" r:id="rId1"/>
    <sheet name="MATERIALS PROVIDED" sheetId="6" r:id="rId2"/>
    <sheet name="DATA" sheetId="5" r:id="rId3"/>
    <sheet name="LISTS" sheetId="3" r:id="rId4"/>
    <sheet name="BUILDING 1 (Old)" sheetId="8" r:id="rId5"/>
    <sheet name="PROJECT SUMMARY (Old)" sheetId="7" r:id="rId6"/>
    <sheet name="PROJECT SUMMARY New" sheetId="11" r:id="rId7"/>
    <sheet name="BUILDING 1 New" sheetId="10" r:id="rId8"/>
  </sheets>
  <definedNames>
    <definedName name="_xlnm.Print_Area" localSheetId="0">BUDGET!$A$1:$G$554</definedName>
    <definedName name="_xlnm.Print_Area" localSheetId="2">DATA!#REF!</definedName>
    <definedName name="tbl_Artboards">#REF!</definedName>
    <definedName name="tbl_BuildingSummar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0" l="1"/>
  <c r="E3" i="10"/>
  <c r="B14" i="10" a="1"/>
  <c r="B14" i="10" s="1"/>
  <c r="B8" i="10" a="1"/>
  <c r="B8" i="10" s="1"/>
  <c r="B6" i="10" a="1"/>
  <c r="B6" i="10" s="1"/>
  <c r="M23" i="4" l="1"/>
  <c r="A1" i="8" l="1"/>
  <c r="L3" i="8"/>
  <c r="O3" i="8"/>
  <c r="R3" i="8"/>
  <c r="I4" i="8"/>
  <c r="L16" i="8" s="1"/>
  <c r="L4" i="8"/>
  <c r="O4" i="8"/>
  <c r="R4" i="8"/>
  <c r="I5" i="8"/>
  <c r="L17" i="8" s="1"/>
  <c r="L5" i="8"/>
  <c r="O5" i="8"/>
  <c r="R5" i="8"/>
  <c r="I6" i="8"/>
  <c r="L6" i="8"/>
  <c r="O6" i="8"/>
  <c r="R6" i="8"/>
  <c r="I7" i="8"/>
  <c r="O7" i="8"/>
  <c r="R7" i="8"/>
  <c r="L8" i="8"/>
  <c r="O8" i="8"/>
  <c r="F9" i="8"/>
  <c r="L9" i="8"/>
  <c r="O9" i="8"/>
  <c r="O10" i="8"/>
  <c r="F11" i="8"/>
  <c r="L12" i="8"/>
  <c r="F13" i="8"/>
  <c r="L13" i="8"/>
  <c r="K16" i="8"/>
  <c r="R16" i="8"/>
  <c r="K17" i="8"/>
  <c r="B69" i="8"/>
  <c r="L10" i="8" s="1"/>
  <c r="D69" i="8"/>
  <c r="L7" i="8" s="1"/>
  <c r="G5" i="7"/>
  <c r="R8" i="8" l="1"/>
  <c r="O11" i="8"/>
  <c r="L11" i="8"/>
  <c r="L15" i="8" s="1"/>
  <c r="L18" i="8" s="1"/>
  <c r="I3" i="8"/>
  <c r="B14" i="8"/>
  <c r="I8" i="8"/>
  <c r="B8" i="8"/>
  <c r="F17" i="8" s="1"/>
  <c r="B6" i="8"/>
  <c r="F15" i="8" s="1"/>
  <c r="A526" i="4"/>
  <c r="A521" i="4"/>
  <c r="A516" i="4"/>
  <c r="A511" i="4"/>
  <c r="A506" i="4"/>
  <c r="A501" i="4"/>
  <c r="A496" i="4"/>
  <c r="A491" i="4"/>
  <c r="A486" i="4"/>
  <c r="A481" i="4"/>
  <c r="A476" i="4"/>
  <c r="A471" i="4"/>
  <c r="A466" i="4"/>
  <c r="A461" i="4"/>
  <c r="A456" i="4"/>
  <c r="A451" i="4"/>
  <c r="A446" i="4"/>
  <c r="A441" i="4"/>
  <c r="A436" i="4"/>
  <c r="A431" i="4"/>
  <c r="A426" i="4"/>
  <c r="A421" i="4"/>
  <c r="A416" i="4"/>
  <c r="A411" i="4"/>
  <c r="A406" i="4"/>
  <c r="A401" i="4"/>
  <c r="A396" i="4"/>
  <c r="A391" i="4"/>
  <c r="A386" i="4"/>
  <c r="A381" i="4"/>
  <c r="A376" i="4"/>
  <c r="A371" i="4"/>
  <c r="A366" i="4"/>
  <c r="A361" i="4"/>
  <c r="A356" i="4"/>
  <c r="A351" i="4"/>
  <c r="A346" i="4"/>
  <c r="A341" i="4"/>
  <c r="A336" i="4"/>
  <c r="A331" i="4"/>
  <c r="A326" i="4"/>
  <c r="A321" i="4"/>
  <c r="A316" i="4"/>
  <c r="A311" i="4"/>
  <c r="A306" i="4"/>
  <c r="A301" i="4"/>
  <c r="A296" i="4"/>
  <c r="A291" i="4"/>
  <c r="A286" i="4"/>
  <c r="A281" i="4"/>
  <c r="N18" i="4" a="1"/>
  <c r="N18" i="4" s="1"/>
  <c r="F529" i="4"/>
  <c r="G529" i="4" s="1"/>
  <c r="F528" i="4" a="1"/>
  <c r="F528" i="4" s="1"/>
  <c r="G528" i="4" s="1"/>
  <c r="F524" i="4"/>
  <c r="G524" i="4" s="1"/>
  <c r="F523" i="4" a="1"/>
  <c r="F523" i="4" s="1"/>
  <c r="G523" i="4" s="1"/>
  <c r="F519" i="4"/>
  <c r="G519" i="4" s="1"/>
  <c r="F518" i="4" a="1"/>
  <c r="F518" i="4" s="1"/>
  <c r="G518" i="4" s="1"/>
  <c r="F514" i="4"/>
  <c r="G514" i="4" s="1"/>
  <c r="F513" i="4" a="1"/>
  <c r="F513" i="4" s="1"/>
  <c r="G513" i="4" s="1"/>
  <c r="F509" i="4"/>
  <c r="G509" i="4" s="1"/>
  <c r="F508" i="4" a="1"/>
  <c r="F508" i="4" s="1"/>
  <c r="G508" i="4" s="1"/>
  <c r="F504" i="4"/>
  <c r="G504" i="4" s="1"/>
  <c r="F503" i="4" a="1"/>
  <c r="F503" i="4" s="1"/>
  <c r="G503" i="4" s="1"/>
  <c r="F499" i="4"/>
  <c r="G499" i="4" s="1"/>
  <c r="F498" i="4" a="1"/>
  <c r="F498" i="4" s="1"/>
  <c r="G498" i="4" s="1"/>
  <c r="F494" i="4"/>
  <c r="G494" i="4" s="1"/>
  <c r="F493" i="4" a="1"/>
  <c r="F493" i="4" s="1"/>
  <c r="G493" i="4" s="1"/>
  <c r="F489" i="4"/>
  <c r="G489" i="4" s="1"/>
  <c r="F488" i="4" a="1"/>
  <c r="F488" i="4" s="1"/>
  <c r="G488" i="4" s="1"/>
  <c r="F484" i="4"/>
  <c r="G484" i="4" s="1"/>
  <c r="F483" i="4" a="1"/>
  <c r="F483" i="4" s="1"/>
  <c r="G483" i="4" s="1"/>
  <c r="F479" i="4"/>
  <c r="G479" i="4" s="1"/>
  <c r="F478" i="4" a="1"/>
  <c r="F478" i="4" s="1"/>
  <c r="G478" i="4" s="1"/>
  <c r="F474" i="4"/>
  <c r="G474" i="4" s="1"/>
  <c r="F473" i="4" a="1"/>
  <c r="F473" i="4" s="1"/>
  <c r="G473" i="4" s="1"/>
  <c r="F469" i="4"/>
  <c r="G469" i="4" s="1"/>
  <c r="F468" i="4" a="1"/>
  <c r="F468" i="4" s="1"/>
  <c r="G468" i="4" s="1"/>
  <c r="F464" i="4"/>
  <c r="G464" i="4" s="1"/>
  <c r="F463" i="4" a="1"/>
  <c r="F463" i="4" s="1"/>
  <c r="G463" i="4" s="1"/>
  <c r="F459" i="4"/>
  <c r="G459" i="4" s="1"/>
  <c r="F458" i="4" a="1"/>
  <c r="F458" i="4" s="1"/>
  <c r="G458" i="4" s="1"/>
  <c r="F454" i="4"/>
  <c r="G454" i="4" s="1"/>
  <c r="F453" i="4" a="1"/>
  <c r="F453" i="4" s="1"/>
  <c r="G453" i="4" s="1"/>
  <c r="F449" i="4"/>
  <c r="G449" i="4" s="1"/>
  <c r="F448" i="4" a="1"/>
  <c r="F448" i="4" s="1"/>
  <c r="G448" i="4" s="1"/>
  <c r="F444" i="4"/>
  <c r="G444" i="4" s="1"/>
  <c r="F443" i="4" a="1"/>
  <c r="F443" i="4" s="1"/>
  <c r="G443" i="4" s="1"/>
  <c r="F439" i="4"/>
  <c r="G439" i="4" s="1"/>
  <c r="F438" i="4" a="1"/>
  <c r="F438" i="4" s="1"/>
  <c r="G438" i="4" s="1"/>
  <c r="F434" i="4"/>
  <c r="G434" i="4" s="1"/>
  <c r="F433" i="4" a="1"/>
  <c r="F433" i="4" s="1"/>
  <c r="G433" i="4" s="1"/>
  <c r="F429" i="4"/>
  <c r="G429" i="4" s="1"/>
  <c r="F428" i="4" a="1"/>
  <c r="F428" i="4" s="1"/>
  <c r="G428" i="4" s="1"/>
  <c r="F424" i="4"/>
  <c r="G424" i="4" s="1"/>
  <c r="F423" i="4" a="1"/>
  <c r="F423" i="4" s="1"/>
  <c r="G423" i="4" s="1"/>
  <c r="F419" i="4"/>
  <c r="G419" i="4" s="1"/>
  <c r="F418" i="4" a="1"/>
  <c r="F418" i="4" s="1"/>
  <c r="G418" i="4" s="1"/>
  <c r="F414" i="4"/>
  <c r="G414" i="4" s="1"/>
  <c r="F413" i="4" a="1"/>
  <c r="F413" i="4" s="1"/>
  <c r="G413" i="4" s="1"/>
  <c r="F409" i="4"/>
  <c r="G409" i="4" s="1"/>
  <c r="F408" i="4" a="1"/>
  <c r="F408" i="4" s="1"/>
  <c r="G408" i="4" s="1"/>
  <c r="F404" i="4"/>
  <c r="G404" i="4" s="1"/>
  <c r="F403" i="4" a="1"/>
  <c r="F403" i="4" s="1"/>
  <c r="G403" i="4" s="1"/>
  <c r="F399" i="4"/>
  <c r="G399" i="4" s="1"/>
  <c r="F398" i="4" a="1"/>
  <c r="F398" i="4" s="1"/>
  <c r="G398" i="4" s="1"/>
  <c r="F394" i="4"/>
  <c r="G394" i="4" s="1"/>
  <c r="F393" i="4" a="1"/>
  <c r="F393" i="4" s="1"/>
  <c r="G393" i="4" s="1"/>
  <c r="F389" i="4"/>
  <c r="G389" i="4" s="1"/>
  <c r="F388" i="4" a="1"/>
  <c r="F388" i="4" s="1"/>
  <c r="G388" i="4" s="1"/>
  <c r="F384" i="4"/>
  <c r="G384" i="4" s="1"/>
  <c r="F383" i="4" a="1"/>
  <c r="F383" i="4" s="1"/>
  <c r="G383" i="4" s="1"/>
  <c r="F379" i="4"/>
  <c r="G379" i="4" s="1"/>
  <c r="F378" i="4" a="1"/>
  <c r="F378" i="4" s="1"/>
  <c r="G378" i="4" s="1"/>
  <c r="F374" i="4"/>
  <c r="G374" i="4" s="1"/>
  <c r="F373" i="4" a="1"/>
  <c r="F373" i="4" s="1"/>
  <c r="G373" i="4" s="1"/>
  <c r="F369" i="4"/>
  <c r="G369" i="4" s="1"/>
  <c r="F368" i="4" a="1"/>
  <c r="F368" i="4" s="1"/>
  <c r="G368" i="4" s="1"/>
  <c r="F364" i="4"/>
  <c r="G364" i="4" s="1"/>
  <c r="F363" i="4" a="1"/>
  <c r="F363" i="4" s="1"/>
  <c r="G363" i="4" s="1"/>
  <c r="F359" i="4"/>
  <c r="G359" i="4" s="1"/>
  <c r="F358" i="4" a="1"/>
  <c r="F358" i="4" s="1"/>
  <c r="G358" i="4" s="1"/>
  <c r="F354" i="4"/>
  <c r="G354" i="4" s="1"/>
  <c r="F353" i="4" a="1"/>
  <c r="F353" i="4" s="1"/>
  <c r="G353" i="4" s="1"/>
  <c r="F349" i="4"/>
  <c r="G349" i="4" s="1"/>
  <c r="F348" i="4" a="1"/>
  <c r="F348" i="4" s="1"/>
  <c r="G348" i="4" s="1"/>
  <c r="F344" i="4"/>
  <c r="G344" i="4" s="1"/>
  <c r="F343" i="4" a="1"/>
  <c r="F343" i="4" s="1"/>
  <c r="G343" i="4" s="1"/>
  <c r="F339" i="4"/>
  <c r="G339" i="4" s="1"/>
  <c r="F338" i="4" a="1"/>
  <c r="F338" i="4" s="1"/>
  <c r="G338" i="4" s="1"/>
  <c r="F334" i="4"/>
  <c r="G334" i="4" s="1"/>
  <c r="F333" i="4" a="1"/>
  <c r="F333" i="4" s="1"/>
  <c r="G333" i="4" s="1"/>
  <c r="F329" i="4"/>
  <c r="G329" i="4" s="1"/>
  <c r="F328" i="4" a="1"/>
  <c r="F328" i="4" s="1"/>
  <c r="G328" i="4" s="1"/>
  <c r="F324" i="4"/>
  <c r="G324" i="4" s="1"/>
  <c r="F323" i="4" a="1"/>
  <c r="F323" i="4" s="1"/>
  <c r="G323" i="4" s="1"/>
  <c r="F319" i="4"/>
  <c r="G319" i="4" s="1"/>
  <c r="F318" i="4" a="1"/>
  <c r="F318" i="4" s="1"/>
  <c r="G318" i="4" s="1"/>
  <c r="F314" i="4"/>
  <c r="G314" i="4" s="1"/>
  <c r="F313" i="4" a="1"/>
  <c r="F313" i="4" s="1"/>
  <c r="G313" i="4" s="1"/>
  <c r="F309" i="4"/>
  <c r="G309" i="4" s="1"/>
  <c r="F308" i="4" a="1"/>
  <c r="F308" i="4" s="1"/>
  <c r="G308" i="4" s="1"/>
  <c r="F304" i="4"/>
  <c r="G304" i="4" s="1"/>
  <c r="F303" i="4" a="1"/>
  <c r="F303" i="4" s="1"/>
  <c r="G303" i="4" s="1"/>
  <c r="F299" i="4"/>
  <c r="G299" i="4" s="1"/>
  <c r="F298" i="4" a="1"/>
  <c r="F298" i="4" s="1"/>
  <c r="G298" i="4" s="1"/>
  <c r="F294" i="4"/>
  <c r="G294" i="4" s="1"/>
  <c r="F293" i="4" a="1"/>
  <c r="F293" i="4" s="1"/>
  <c r="G293" i="4" s="1"/>
  <c r="F289" i="4"/>
  <c r="G289" i="4" s="1"/>
  <c r="F288" i="4" a="1"/>
  <c r="F288" i="4" s="1"/>
  <c r="G288" i="4" s="1"/>
  <c r="F284" i="4"/>
  <c r="G284" i="4" s="1"/>
  <c r="F283" i="4" a="1"/>
  <c r="F283" i="4" s="1"/>
  <c r="G283" i="4" s="1"/>
  <c r="AZ49" i="5"/>
  <c r="AY49" i="5"/>
  <c r="AX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D49" i="5"/>
  <c r="C49" i="5"/>
  <c r="C46" i="5"/>
  <c r="L46" i="5"/>
  <c r="K46" i="5"/>
  <c r="J46" i="5"/>
  <c r="I46" i="5"/>
  <c r="H46" i="5"/>
  <c r="G46" i="5"/>
  <c r="F46" i="5"/>
  <c r="E46" i="5"/>
  <c r="D46" i="5"/>
  <c r="B3" i="7"/>
  <c r="J15" i="7"/>
  <c r="S8" i="7"/>
  <c r="S7" i="7"/>
  <c r="S6" i="7"/>
  <c r="S5" i="7"/>
  <c r="G79" i="5" s="1"/>
  <c r="S4" i="7"/>
  <c r="D7" i="7"/>
  <c r="D6" i="7"/>
  <c r="D5" i="7"/>
  <c r="D4" i="7"/>
  <c r="D3" i="7"/>
  <c r="B13" i="7"/>
  <c r="B11" i="7"/>
  <c r="B10" i="7"/>
  <c r="B9" i="7"/>
  <c r="B8" i="7"/>
  <c r="B5" i="7"/>
  <c r="B4" i="7"/>
  <c r="I18" i="7"/>
  <c r="I17" i="7"/>
  <c r="I9" i="8" l="1"/>
  <c r="J503" i="4"/>
  <c r="J448" i="4"/>
  <c r="J413" i="4"/>
  <c r="J393" i="4"/>
  <c r="J524" i="4"/>
  <c r="J488" i="4"/>
  <c r="J408" i="4"/>
  <c r="J368" i="4"/>
  <c r="J358" i="4"/>
  <c r="J323" i="4"/>
  <c r="J283" i="4"/>
  <c r="J528" i="4"/>
  <c r="J518" i="4"/>
  <c r="J513" i="4"/>
  <c r="J508" i="4"/>
  <c r="J498" i="4"/>
  <c r="J493" i="4"/>
  <c r="J478" i="4"/>
  <c r="J474" i="4"/>
  <c r="J468" i="4"/>
  <c r="J428" i="4"/>
  <c r="J404" i="4"/>
  <c r="J398" i="4"/>
  <c r="J388" i="4"/>
  <c r="J328" i="4"/>
  <c r="J313" i="4"/>
  <c r="J303" i="4"/>
  <c r="J293" i="4"/>
  <c r="J288" i="4"/>
  <c r="J378" i="4"/>
  <c r="J338" i="4"/>
  <c r="J348" i="4"/>
  <c r="J418" i="4"/>
  <c r="J433" i="4"/>
  <c r="J453" i="4"/>
  <c r="J389" i="4"/>
  <c r="J403" i="4"/>
  <c r="J308" i="4"/>
  <c r="J473" i="4"/>
  <c r="J438" i="4"/>
  <c r="G390" i="4" a="1"/>
  <c r="G390" i="4" s="1"/>
  <c r="G300" i="4" a="1"/>
  <c r="G300" i="4" s="1"/>
  <c r="G310" i="4" a="1"/>
  <c r="G310" i="4" s="1"/>
  <c r="G445" i="4" a="1"/>
  <c r="G445" i="4" s="1"/>
  <c r="G470" i="4" a="1"/>
  <c r="G470" i="4" s="1"/>
  <c r="G285" i="4" a="1"/>
  <c r="G285" i="4" s="1"/>
  <c r="G360" i="4" a="1"/>
  <c r="G360" i="4" s="1"/>
  <c r="G345" i="4" a="1"/>
  <c r="G345" i="4" s="1"/>
  <c r="G460" i="4" a="1"/>
  <c r="G460" i="4" s="1"/>
  <c r="G380" i="4" a="1"/>
  <c r="G380" i="4" s="1"/>
  <c r="G365" i="4" a="1"/>
  <c r="G365" i="4" s="1"/>
  <c r="G525" i="4" a="1"/>
  <c r="G525" i="4" s="1"/>
  <c r="G530" i="4" a="1"/>
  <c r="G530" i="4" s="1"/>
  <c r="J444" i="4"/>
  <c r="G295" i="4" a="1"/>
  <c r="G295" i="4" s="1"/>
  <c r="G375" i="4" a="1"/>
  <c r="G375" i="4" s="1"/>
  <c r="G455" i="4" a="1"/>
  <c r="G455" i="4" s="1"/>
  <c r="G355" i="4" a="1"/>
  <c r="G355" i="4" s="1"/>
  <c r="G435" i="4" a="1"/>
  <c r="G435" i="4" s="1"/>
  <c r="G520" i="4" a="1"/>
  <c r="G520" i="4" s="1"/>
  <c r="G335" i="4" a="1"/>
  <c r="G335" i="4" s="1"/>
  <c r="G415" i="4" a="1"/>
  <c r="G415" i="4" s="1"/>
  <c r="G495" i="4" a="1"/>
  <c r="G495" i="4" s="1"/>
  <c r="G515" i="4" a="1"/>
  <c r="G515" i="4" s="1"/>
  <c r="G510" i="4" a="1"/>
  <c r="G510" i="4" s="1"/>
  <c r="G350" i="4" a="1"/>
  <c r="G350" i="4" s="1"/>
  <c r="G430" i="4" a="1"/>
  <c r="G430" i="4" s="1"/>
  <c r="G315" i="4" a="1"/>
  <c r="G315" i="4" s="1"/>
  <c r="G395" i="4" a="1"/>
  <c r="G395" i="4" s="1"/>
  <c r="G475" i="4" a="1"/>
  <c r="G475" i="4" s="1"/>
  <c r="G330" i="4" a="1"/>
  <c r="G330" i="4" s="1"/>
  <c r="G410" i="4" a="1"/>
  <c r="G410" i="4" s="1"/>
  <c r="G490" i="4" a="1"/>
  <c r="G490" i="4" s="1"/>
  <c r="G425" i="4" a="1"/>
  <c r="G425" i="4" s="1"/>
  <c r="G440" i="4" a="1"/>
  <c r="G440" i="4" s="1"/>
  <c r="G505" i="4" a="1"/>
  <c r="G505" i="4" s="1"/>
  <c r="G325" i="4" a="1"/>
  <c r="G325" i="4" s="1"/>
  <c r="G340" i="4" a="1"/>
  <c r="G340" i="4" s="1"/>
  <c r="G405" i="4" a="1"/>
  <c r="G405" i="4" s="1"/>
  <c r="G420" i="4" a="1"/>
  <c r="G420" i="4" s="1"/>
  <c r="G485" i="4" a="1"/>
  <c r="G485" i="4" s="1"/>
  <c r="G500" i="4" a="1"/>
  <c r="G500" i="4" s="1"/>
  <c r="G290" i="4" a="1"/>
  <c r="G290" i="4" s="1"/>
  <c r="G370" i="4" a="1"/>
  <c r="G370" i="4" s="1"/>
  <c r="G450" i="4" a="1"/>
  <c r="G450" i="4" s="1"/>
  <c r="G305" i="4" a="1"/>
  <c r="G305" i="4" s="1"/>
  <c r="G320" i="4" a="1"/>
  <c r="G320" i="4" s="1"/>
  <c r="G385" i="4" a="1"/>
  <c r="G385" i="4" s="1"/>
  <c r="G400" i="4" a="1"/>
  <c r="G400" i="4" s="1"/>
  <c r="G465" i="4" a="1"/>
  <c r="G465" i="4" s="1"/>
  <c r="G480" i="4" a="1"/>
  <c r="G480" i="4" s="1"/>
  <c r="J384" i="4"/>
  <c r="J514" i="4"/>
  <c r="J423" i="4"/>
  <c r="J424" i="4"/>
  <c r="J319" i="4"/>
  <c r="J333" i="4"/>
  <c r="J373" i="4"/>
  <c r="J419" i="4"/>
  <c r="J324" i="4"/>
  <c r="J344" i="4"/>
  <c r="J354" i="4"/>
  <c r="J364" i="4"/>
  <c r="J459" i="4"/>
  <c r="J483" i="4"/>
  <c r="A276" i="4"/>
  <c r="A271" i="4"/>
  <c r="A266" i="4"/>
  <c r="A261" i="4"/>
  <c r="A256" i="4"/>
  <c r="A251" i="4"/>
  <c r="A246" i="4"/>
  <c r="A241" i="4"/>
  <c r="A236" i="4"/>
  <c r="A231" i="4"/>
  <c r="A226" i="4"/>
  <c r="A221" i="4"/>
  <c r="A216" i="4"/>
  <c r="A211" i="4"/>
  <c r="A206" i="4"/>
  <c r="A201" i="4"/>
  <c r="A196" i="4"/>
  <c r="A191" i="4"/>
  <c r="A186" i="4"/>
  <c r="A181" i="4"/>
  <c r="A176" i="4"/>
  <c r="A171" i="4"/>
  <c r="A166" i="4"/>
  <c r="A161" i="4"/>
  <c r="A156" i="4"/>
  <c r="A151" i="4"/>
  <c r="A146" i="4"/>
  <c r="A141" i="4"/>
  <c r="A136" i="4"/>
  <c r="A131" i="4"/>
  <c r="A126" i="4"/>
  <c r="A121" i="4"/>
  <c r="A116" i="4"/>
  <c r="A111" i="4"/>
  <c r="A106" i="4"/>
  <c r="A101" i="4"/>
  <c r="A96" i="4"/>
  <c r="A91" i="4"/>
  <c r="A86" i="4"/>
  <c r="A81" i="4"/>
  <c r="A76" i="4"/>
  <c r="A71" i="4"/>
  <c r="A66" i="4"/>
  <c r="A61" i="4"/>
  <c r="A56" i="4"/>
  <c r="A51" i="4"/>
  <c r="A46" i="4"/>
  <c r="A41" i="4"/>
  <c r="A36" i="4"/>
  <c r="A26" i="4"/>
  <c r="L10" i="4"/>
  <c r="F279" i="4"/>
  <c r="G279" i="4" s="1"/>
  <c r="F278" i="4" a="1"/>
  <c r="F278" i="4" s="1"/>
  <c r="G278" i="4" s="1"/>
  <c r="F274" i="4"/>
  <c r="G274" i="4" s="1"/>
  <c r="F273" i="4" a="1"/>
  <c r="F273" i="4" s="1"/>
  <c r="G273" i="4" s="1"/>
  <c r="F269" i="4"/>
  <c r="G269" i="4" s="1"/>
  <c r="F268" i="4" a="1"/>
  <c r="F268" i="4" s="1"/>
  <c r="G268" i="4" s="1"/>
  <c r="F264" i="4"/>
  <c r="G264" i="4" s="1"/>
  <c r="F263" i="4" a="1"/>
  <c r="F263" i="4" s="1"/>
  <c r="G263" i="4" s="1"/>
  <c r="F259" i="4"/>
  <c r="G259" i="4" s="1"/>
  <c r="F258" i="4" a="1"/>
  <c r="F258" i="4" s="1"/>
  <c r="G258" i="4" s="1"/>
  <c r="F254" i="4"/>
  <c r="G254" i="4" s="1"/>
  <c r="F253" i="4" a="1"/>
  <c r="F253" i="4" s="1"/>
  <c r="G253" i="4" s="1"/>
  <c r="F249" i="4"/>
  <c r="G249" i="4" s="1"/>
  <c r="F248" i="4" a="1"/>
  <c r="F248" i="4" s="1"/>
  <c r="G248" i="4" s="1"/>
  <c r="F244" i="4"/>
  <c r="G244" i="4" s="1"/>
  <c r="F243" i="4" a="1"/>
  <c r="F243" i="4" s="1"/>
  <c r="G243" i="4" s="1"/>
  <c r="F239" i="4"/>
  <c r="G239" i="4" s="1"/>
  <c r="F238" i="4" a="1"/>
  <c r="F238" i="4" s="1"/>
  <c r="G238" i="4" s="1"/>
  <c r="F234" i="4"/>
  <c r="G234" i="4" s="1"/>
  <c r="F233" i="4" a="1"/>
  <c r="F233" i="4" s="1"/>
  <c r="G233" i="4" s="1"/>
  <c r="F229" i="4"/>
  <c r="F228" i="4" a="1"/>
  <c r="F228" i="4" s="1"/>
  <c r="G228" i="4" s="1"/>
  <c r="F224" i="4"/>
  <c r="G224" i="4" s="1"/>
  <c r="F223" i="4" a="1"/>
  <c r="F223" i="4" s="1"/>
  <c r="G223" i="4" s="1"/>
  <c r="F219" i="4"/>
  <c r="G219" i="4" s="1"/>
  <c r="F218" i="4" a="1"/>
  <c r="F218" i="4" s="1"/>
  <c r="G218" i="4" s="1"/>
  <c r="F214" i="4"/>
  <c r="G214" i="4" s="1"/>
  <c r="F213" i="4" a="1"/>
  <c r="F213" i="4" s="1"/>
  <c r="G213" i="4" s="1"/>
  <c r="F209" i="4"/>
  <c r="G209" i="4" s="1"/>
  <c r="F208" i="4" a="1"/>
  <c r="F208" i="4" s="1"/>
  <c r="G208" i="4" s="1"/>
  <c r="F204" i="4"/>
  <c r="G204" i="4" s="1"/>
  <c r="F203" i="4" a="1"/>
  <c r="F203" i="4" s="1"/>
  <c r="G203" i="4" s="1"/>
  <c r="F199" i="4"/>
  <c r="G199" i="4" s="1"/>
  <c r="F198" i="4" a="1"/>
  <c r="F198" i="4" s="1"/>
  <c r="G198" i="4" s="1"/>
  <c r="F194" i="4"/>
  <c r="G194" i="4" s="1"/>
  <c r="F193" i="4" a="1"/>
  <c r="F193" i="4" s="1"/>
  <c r="G193" i="4" s="1"/>
  <c r="F189" i="4"/>
  <c r="G189" i="4" s="1"/>
  <c r="F188" i="4" a="1"/>
  <c r="F188" i="4" s="1"/>
  <c r="G188" i="4" s="1"/>
  <c r="F184" i="4"/>
  <c r="G184" i="4" s="1"/>
  <c r="F183" i="4" a="1"/>
  <c r="F183" i="4" s="1"/>
  <c r="G183" i="4" s="1"/>
  <c r="F179" i="4"/>
  <c r="G179" i="4" s="1"/>
  <c r="F178" i="4" a="1"/>
  <c r="F178" i="4" s="1"/>
  <c r="G178" i="4" s="1"/>
  <c r="F174" i="4"/>
  <c r="G174" i="4" s="1"/>
  <c r="F173" i="4" a="1"/>
  <c r="F173" i="4" s="1"/>
  <c r="G173" i="4" s="1"/>
  <c r="F169" i="4"/>
  <c r="G169" i="4" s="1"/>
  <c r="F168" i="4" a="1"/>
  <c r="F168" i="4" s="1"/>
  <c r="G168" i="4" s="1"/>
  <c r="F164" i="4"/>
  <c r="G164" i="4" s="1"/>
  <c r="F163" i="4" a="1"/>
  <c r="F163" i="4" s="1"/>
  <c r="G163" i="4" s="1"/>
  <c r="F159" i="4"/>
  <c r="G159" i="4" s="1"/>
  <c r="F158" i="4" a="1"/>
  <c r="F158" i="4" s="1"/>
  <c r="G158" i="4" s="1"/>
  <c r="F154" i="4"/>
  <c r="G154" i="4" s="1"/>
  <c r="F153" i="4" a="1"/>
  <c r="F153" i="4" s="1"/>
  <c r="G153" i="4" s="1"/>
  <c r="F149" i="4"/>
  <c r="G149" i="4" s="1"/>
  <c r="F148" i="4" a="1"/>
  <c r="F148" i="4" s="1"/>
  <c r="G148" i="4" s="1"/>
  <c r="F144" i="4"/>
  <c r="G144" i="4" s="1"/>
  <c r="F143" i="4" a="1"/>
  <c r="F143" i="4" s="1"/>
  <c r="G143" i="4" s="1"/>
  <c r="F139" i="4"/>
  <c r="G139" i="4" s="1"/>
  <c r="F138" i="4" a="1"/>
  <c r="F138" i="4" s="1"/>
  <c r="G138" i="4" s="1"/>
  <c r="F134" i="4"/>
  <c r="G134" i="4" s="1"/>
  <c r="F133" i="4" a="1"/>
  <c r="F133" i="4" s="1"/>
  <c r="G133" i="4" s="1"/>
  <c r="F129" i="4"/>
  <c r="G129" i="4" s="1"/>
  <c r="F128" i="4" a="1"/>
  <c r="F128" i="4" s="1"/>
  <c r="G128" i="4" s="1"/>
  <c r="F124" i="4"/>
  <c r="G124" i="4" s="1"/>
  <c r="F123" i="4" a="1"/>
  <c r="F123" i="4" s="1"/>
  <c r="G123" i="4" s="1"/>
  <c r="F119" i="4"/>
  <c r="G119" i="4" s="1"/>
  <c r="F118" i="4" a="1"/>
  <c r="F118" i="4" s="1"/>
  <c r="G118" i="4" s="1"/>
  <c r="F114" i="4"/>
  <c r="G114" i="4" s="1"/>
  <c r="F113" i="4" a="1"/>
  <c r="F113" i="4" s="1"/>
  <c r="G113" i="4" s="1"/>
  <c r="F109" i="4"/>
  <c r="G109" i="4" s="1"/>
  <c r="F108" i="4" a="1"/>
  <c r="F108" i="4" s="1"/>
  <c r="G108" i="4" s="1"/>
  <c r="F104" i="4"/>
  <c r="G104" i="4" s="1"/>
  <c r="F103" i="4" a="1"/>
  <c r="F103" i="4" s="1"/>
  <c r="G103" i="4" s="1"/>
  <c r="F99" i="4"/>
  <c r="G99" i="4" s="1"/>
  <c r="F98" i="4" a="1"/>
  <c r="F98" i="4" s="1"/>
  <c r="G98" i="4" s="1"/>
  <c r="F94" i="4"/>
  <c r="G94" i="4" s="1"/>
  <c r="F93" i="4" a="1"/>
  <c r="F93" i="4" s="1"/>
  <c r="G93" i="4" s="1"/>
  <c r="F89" i="4"/>
  <c r="G89" i="4" s="1"/>
  <c r="F88" i="4" a="1"/>
  <c r="F88" i="4" s="1"/>
  <c r="G88" i="4" s="1"/>
  <c r="F84" i="4"/>
  <c r="G84" i="4" s="1"/>
  <c r="F83" i="4" a="1"/>
  <c r="F83" i="4" s="1"/>
  <c r="G83" i="4" s="1"/>
  <c r="F79" i="4"/>
  <c r="G79" i="4" s="1"/>
  <c r="F78" i="4" a="1"/>
  <c r="F78" i="4" s="1"/>
  <c r="G78" i="4" s="1"/>
  <c r="F74" i="4"/>
  <c r="G74" i="4" s="1"/>
  <c r="F73" i="4" a="1"/>
  <c r="F73" i="4" s="1"/>
  <c r="G73" i="4" s="1"/>
  <c r="F69" i="4"/>
  <c r="G69" i="4" s="1"/>
  <c r="F68" i="4" a="1"/>
  <c r="F68" i="4" s="1"/>
  <c r="G68" i="4" s="1"/>
  <c r="F64" i="4"/>
  <c r="G64" i="4" s="1"/>
  <c r="F63" i="4" a="1"/>
  <c r="F63" i="4" s="1"/>
  <c r="G63" i="4" s="1"/>
  <c r="F59" i="4"/>
  <c r="G59" i="4" s="1"/>
  <c r="F58" i="4" a="1"/>
  <c r="F58" i="4" s="1"/>
  <c r="G58" i="4" s="1"/>
  <c r="F54" i="4"/>
  <c r="G54" i="4" s="1"/>
  <c r="F53" i="4" a="1"/>
  <c r="F53" i="4" s="1"/>
  <c r="G53" i="4" s="1"/>
  <c r="F49" i="4"/>
  <c r="F48" i="4" a="1"/>
  <c r="F48" i="4" s="1"/>
  <c r="G48" i="4" s="1"/>
  <c r="F44" i="4"/>
  <c r="G44" i="4" s="1"/>
  <c r="F43" i="4" a="1"/>
  <c r="F43" i="4" s="1"/>
  <c r="G43" i="4" s="1"/>
  <c r="F39" i="4"/>
  <c r="G39" i="4" s="1"/>
  <c r="F38" i="4" a="1"/>
  <c r="F38" i="4" s="1"/>
  <c r="G38" i="4" s="1"/>
  <c r="F28" i="4" a="1"/>
  <c r="F28" i="4" s="1"/>
  <c r="F29" i="4"/>
  <c r="G229" i="4"/>
  <c r="G49" i="4"/>
  <c r="J469" i="4" l="1"/>
  <c r="J519" i="4"/>
  <c r="J399" i="4"/>
  <c r="J383" i="4"/>
  <c r="J489" i="4"/>
  <c r="J458" i="4"/>
  <c r="J454" i="4"/>
  <c r="J443" i="4"/>
  <c r="J379" i="4"/>
  <c r="J484" i="4"/>
  <c r="J494" i="4"/>
  <c r="J464" i="4"/>
  <c r="J463" i="4"/>
  <c r="J414" i="4"/>
  <c r="J353" i="4"/>
  <c r="J529" i="4"/>
  <c r="J509" i="4"/>
  <c r="J504" i="4"/>
  <c r="J499" i="4"/>
  <c r="J449" i="4"/>
  <c r="J309" i="4"/>
  <c r="J294" i="4"/>
  <c r="J289" i="4"/>
  <c r="J284" i="4"/>
  <c r="J479" i="4"/>
  <c r="J439" i="4"/>
  <c r="J429" i="4"/>
  <c r="J409" i="4"/>
  <c r="J374" i="4"/>
  <c r="J329" i="4"/>
  <c r="J318" i="4"/>
  <c r="J299" i="4"/>
  <c r="J339" i="4"/>
  <c r="J369" i="4"/>
  <c r="J314" i="4"/>
  <c r="J363" i="4"/>
  <c r="J298" i="4"/>
  <c r="J349" i="4"/>
  <c r="J359" i="4"/>
  <c r="J523" i="4"/>
  <c r="J434" i="4"/>
  <c r="J394" i="4"/>
  <c r="J343" i="4"/>
  <c r="J334" i="4"/>
  <c r="J304" i="4"/>
  <c r="G170" i="4" a="1"/>
  <c r="G170" i="4" s="1"/>
  <c r="G50" i="4" a="1"/>
  <c r="G50" i="4" s="1"/>
  <c r="G135" i="4" a="1"/>
  <c r="G135" i="4" s="1"/>
  <c r="G180" i="4" a="1"/>
  <c r="G180" i="4" s="1"/>
  <c r="G130" i="4" a="1"/>
  <c r="G130" i="4" s="1"/>
  <c r="G85" i="4" a="1"/>
  <c r="G85" i="4" s="1"/>
  <c r="G230" i="4" a="1"/>
  <c r="G230" i="4" s="1"/>
  <c r="G220" i="4" a="1"/>
  <c r="G220" i="4" s="1"/>
  <c r="G90" i="4" a="1"/>
  <c r="G90" i="4" s="1"/>
  <c r="G70" i="4" a="1"/>
  <c r="G70" i="4" s="1"/>
  <c r="G190" i="4" a="1"/>
  <c r="G190" i="4" s="1"/>
  <c r="G205" i="4" a="1"/>
  <c r="G205" i="4" s="1"/>
  <c r="G275" i="4" a="1"/>
  <c r="G275" i="4" s="1"/>
  <c r="G270" i="4" a="1"/>
  <c r="G270" i="4" s="1"/>
  <c r="G245" i="4" a="1"/>
  <c r="G245" i="4" s="1"/>
  <c r="G240" i="4" a="1"/>
  <c r="G240" i="4" s="1"/>
  <c r="G210" i="4" a="1"/>
  <c r="G210" i="4" s="1"/>
  <c r="G195" i="4" a="1"/>
  <c r="G195" i="4" s="1"/>
  <c r="G175" i="4" a="1"/>
  <c r="G175" i="4" s="1"/>
  <c r="G155" i="4" a="1"/>
  <c r="G155" i="4" s="1"/>
  <c r="G150" i="4" a="1"/>
  <c r="G150" i="4" s="1"/>
  <c r="G100" i="4" a="1"/>
  <c r="G100" i="4" s="1"/>
  <c r="G65" i="4" a="1"/>
  <c r="G65" i="4" s="1"/>
  <c r="G45" i="4" a="1"/>
  <c r="G45" i="4" s="1"/>
  <c r="G280" i="4" a="1"/>
  <c r="G280" i="4" s="1"/>
  <c r="G260" i="4" a="1"/>
  <c r="G260" i="4" s="1"/>
  <c r="G140" i="4" a="1"/>
  <c r="G140" i="4" s="1"/>
  <c r="G115" i="4" a="1"/>
  <c r="G115" i="4" s="1"/>
  <c r="G95" i="4" a="1"/>
  <c r="G95" i="4" s="1"/>
  <c r="G80" i="4" a="1"/>
  <c r="G80" i="4" s="1"/>
  <c r="G75" i="4" a="1"/>
  <c r="G75" i="4" s="1"/>
  <c r="G55" i="4" a="1"/>
  <c r="G55" i="4" s="1"/>
  <c r="G250" i="4" a="1"/>
  <c r="G250" i="4" s="1"/>
  <c r="G235" i="4" a="1"/>
  <c r="G235" i="4" s="1"/>
  <c r="G165" i="4" a="1"/>
  <c r="G165" i="4" s="1"/>
  <c r="G125" i="4" a="1"/>
  <c r="G125" i="4" s="1"/>
  <c r="G110" i="4" a="1"/>
  <c r="G110" i="4" s="1"/>
  <c r="G60" i="4" a="1"/>
  <c r="G60" i="4" s="1"/>
  <c r="G40" i="4" a="1"/>
  <c r="G40" i="4" s="1"/>
  <c r="G105" i="4" a="1"/>
  <c r="G105" i="4" s="1"/>
  <c r="G145" i="4" a="1"/>
  <c r="G145" i="4" s="1"/>
  <c r="G185" i="4" a="1"/>
  <c r="G185" i="4" s="1"/>
  <c r="G225" i="4" a="1"/>
  <c r="G225" i="4" s="1"/>
  <c r="G265" i="4" a="1"/>
  <c r="G265" i="4" s="1"/>
  <c r="G120" i="4" a="1"/>
  <c r="G120" i="4" s="1"/>
  <c r="G160" i="4" a="1"/>
  <c r="G160" i="4" s="1"/>
  <c r="G200" i="4" a="1"/>
  <c r="G200" i="4" s="1"/>
  <c r="G215" i="4" a="1"/>
  <c r="G215" i="4" s="1"/>
  <c r="G255" i="4" a="1"/>
  <c r="G255" i="4" s="1"/>
  <c r="J6" i="7" l="1"/>
  <c r="J7" i="7"/>
  <c r="P7" i="7" l="1"/>
  <c r="M8" i="7"/>
  <c r="M5" i="7"/>
  <c r="P8" i="7"/>
  <c r="M11" i="7"/>
  <c r="D6" i="5"/>
  <c r="D24" i="5"/>
  <c r="I542" i="4"/>
  <c r="I535" i="4"/>
  <c r="I22" i="4"/>
  <c r="J538" i="4"/>
  <c r="J535" i="4"/>
  <c r="E82" i="5"/>
  <c r="E72" i="5"/>
  <c r="E74" i="5"/>
  <c r="N19" i="4" l="1"/>
  <c r="E83" i="5"/>
  <c r="E81" i="5"/>
  <c r="E78" i="5"/>
  <c r="E77" i="5"/>
  <c r="E76" i="5"/>
  <c r="E75" i="5"/>
  <c r="E73" i="5"/>
  <c r="G82" i="5"/>
  <c r="J9" i="7" l="1"/>
  <c r="J10" i="7"/>
  <c r="M7" i="7"/>
  <c r="M4" i="7"/>
  <c r="J63" i="4" l="1"/>
  <c r="J98" i="4"/>
  <c r="J123" i="4"/>
  <c r="J148" i="4"/>
  <c r="J173" i="4"/>
  <c r="J203" i="4"/>
  <c r="J243" i="4"/>
  <c r="J278" i="4"/>
  <c r="J279" i="4"/>
  <c r="J43" i="4"/>
  <c r="J228" i="4"/>
  <c r="J273" i="4"/>
  <c r="J68" i="4"/>
  <c r="J213" i="4"/>
  <c r="J113" i="4"/>
  <c r="J73" i="4"/>
  <c r="J188" i="4"/>
  <c r="J103" i="4"/>
  <c r="J128" i="4"/>
  <c r="J153" i="4"/>
  <c r="J183" i="4"/>
  <c r="J218" i="4"/>
  <c r="J248" i="4"/>
  <c r="J168" i="4"/>
  <c r="J53" i="4"/>
  <c r="J88" i="4"/>
  <c r="J108" i="4"/>
  <c r="J133" i="4"/>
  <c r="J158" i="4"/>
  <c r="J223" i="4"/>
  <c r="J253" i="4"/>
  <c r="J78" i="4"/>
  <c r="J143" i="4"/>
  <c r="J208" i="4"/>
  <c r="J178" i="4"/>
  <c r="J193" i="4"/>
  <c r="J263" i="4"/>
  <c r="J58" i="4"/>
  <c r="J93" i="4"/>
  <c r="J118" i="4"/>
  <c r="J138" i="4"/>
  <c r="J163" i="4"/>
  <c r="J198" i="4"/>
  <c r="J233" i="4"/>
  <c r="J238" i="4"/>
  <c r="J268" i="4"/>
  <c r="J258" i="4"/>
  <c r="J83" i="4"/>
  <c r="J48" i="4"/>
  <c r="J38" i="4"/>
  <c r="J17" i="7"/>
  <c r="N20" i="4" a="1"/>
  <c r="N20" i="4" s="1"/>
  <c r="D5" i="5"/>
  <c r="F5" i="5" s="1"/>
  <c r="D4" i="5"/>
  <c r="J159" i="4" l="1"/>
  <c r="J84" i="4"/>
  <c r="J79" i="4"/>
  <c r="J54" i="4"/>
  <c r="J229" i="4"/>
  <c r="J239" i="4"/>
  <c r="J194" i="4"/>
  <c r="J134" i="4"/>
  <c r="J219" i="4"/>
  <c r="J204" i="4"/>
  <c r="J259" i="4"/>
  <c r="J199" i="4"/>
  <c r="J94" i="4"/>
  <c r="J104" i="4"/>
  <c r="J214" i="4"/>
  <c r="J99" i="4"/>
  <c r="J89" i="4"/>
  <c r="J149" i="4"/>
  <c r="J274" i="4"/>
  <c r="J234" i="4"/>
  <c r="J264" i="4"/>
  <c r="J114" i="4"/>
  <c r="J179" i="4"/>
  <c r="J254" i="4"/>
  <c r="J184" i="4"/>
  <c r="J44" i="4"/>
  <c r="J174" i="4"/>
  <c r="J74" i="4"/>
  <c r="J144" i="4"/>
  <c r="J244" i="4"/>
  <c r="J119" i="4"/>
  <c r="J269" i="4"/>
  <c r="J164" i="4"/>
  <c r="J109" i="4"/>
  <c r="J189" i="4"/>
  <c r="J69" i="4"/>
  <c r="J64" i="4"/>
  <c r="J139" i="4"/>
  <c r="J249" i="4"/>
  <c r="J129" i="4"/>
  <c r="J124" i="4"/>
  <c r="J59" i="4"/>
  <c r="J209" i="4"/>
  <c r="J224" i="4"/>
  <c r="J169" i="4"/>
  <c r="J154" i="4"/>
  <c r="J49" i="4"/>
  <c r="J39" i="4"/>
  <c r="D23" i="5"/>
  <c r="F23" i="5" s="1"/>
  <c r="D22" i="5"/>
  <c r="F22" i="5" s="1"/>
  <c r="D21" i="5"/>
  <c r="F21" i="5" s="1"/>
  <c r="D20" i="5"/>
  <c r="F20" i="5" s="1"/>
  <c r="D19" i="5"/>
  <c r="F19" i="5" s="1"/>
  <c r="F33" i="4"/>
  <c r="G33" i="4" s="1"/>
  <c r="F32" i="4" a="1"/>
  <c r="F32" i="4" s="1"/>
  <c r="G32" i="4" s="1"/>
  <c r="F31" i="4"/>
  <c r="G31" i="4" s="1"/>
  <c r="F30" i="4" a="1"/>
  <c r="F30" i="4" s="1"/>
  <c r="G30" i="4" s="1"/>
  <c r="F537" i="4" a="1"/>
  <c r="F537" i="4" s="1"/>
  <c r="G537" i="4" s="1"/>
  <c r="D32" i="5"/>
  <c r="F32" i="5" s="1"/>
  <c r="Q549" i="4"/>
  <c r="Q547" i="4"/>
  <c r="Q545" i="4"/>
  <c r="J13" i="7" l="1"/>
  <c r="J14" i="7"/>
  <c r="G6" i="7"/>
  <c r="J18" i="7" s="1"/>
  <c r="C51" i="5"/>
  <c r="Q550" i="4"/>
  <c r="M9" i="7"/>
  <c r="M6" i="7"/>
  <c r="G94" i="5"/>
  <c r="H94" i="5"/>
  <c r="F94" i="5"/>
  <c r="D10" i="7" l="1"/>
  <c r="H68" i="5" s="1"/>
  <c r="P6" i="7" s="1"/>
  <c r="P5" i="7"/>
  <c r="D9" i="7"/>
  <c r="H79" i="5" s="1"/>
  <c r="E79" i="5" s="1"/>
  <c r="D11" i="7"/>
  <c r="H82" i="5" s="1"/>
  <c r="G8" i="7"/>
  <c r="F538" i="4" a="1"/>
  <c r="F538" i="4" s="1"/>
  <c r="F536" i="4" l="1" a="1"/>
  <c r="F536" i="4" s="1"/>
  <c r="F535" i="4" a="1"/>
  <c r="F535" i="4" s="1"/>
  <c r="F534" i="4" a="1"/>
  <c r="F534" i="4" s="1"/>
  <c r="F533" i="4"/>
  <c r="F20" i="4" a="1"/>
  <c r="F20" i="4" s="1"/>
  <c r="F22" i="4"/>
  <c r="B14" i="7" l="1"/>
  <c r="B16" i="7"/>
  <c r="B15" i="7" l="1"/>
  <c r="J8" i="7" s="1"/>
  <c r="D79" i="5" s="1"/>
  <c r="J11" i="7"/>
  <c r="D68" i="5" s="1"/>
  <c r="E94" i="5"/>
  <c r="H76" i="5"/>
  <c r="G76" i="5"/>
  <c r="D35" i="5"/>
  <c r="D28" i="5"/>
  <c r="D11" i="5"/>
  <c r="D33" i="5"/>
  <c r="F33" i="5" s="1"/>
  <c r="D31" i="5"/>
  <c r="F31" i="5" s="1"/>
  <c r="D30" i="5"/>
  <c r="D29" i="5"/>
  <c r="D18" i="5"/>
  <c r="F18" i="5" s="1"/>
  <c r="D10" i="5"/>
  <c r="F10" i="5" s="1"/>
  <c r="F541" i="4" a="1"/>
  <c r="F541" i="4" s="1"/>
  <c r="B12" i="7" l="1"/>
  <c r="G75" i="5" s="1"/>
  <c r="D77" i="5"/>
  <c r="J12" i="7"/>
  <c r="C79" i="5" s="1"/>
  <c r="C45" i="5"/>
  <c r="G9" i="7"/>
  <c r="C94" i="5"/>
  <c r="D94" i="5"/>
  <c r="G45" i="5"/>
  <c r="H73" i="5"/>
  <c r="H74" i="5" s="1"/>
  <c r="H81" i="5"/>
  <c r="H77" i="5"/>
  <c r="H78" i="5"/>
  <c r="C47" i="5"/>
  <c r="C62" i="5" s="1"/>
  <c r="G73" i="5"/>
  <c r="H83" i="5"/>
  <c r="H75" i="5"/>
  <c r="F45" i="5"/>
  <c r="J45" i="5"/>
  <c r="D45" i="5"/>
  <c r="I45" i="5"/>
  <c r="K45" i="5"/>
  <c r="E45" i="5"/>
  <c r="L45" i="5"/>
  <c r="H45" i="5"/>
  <c r="AC48" i="5"/>
  <c r="L48" i="5"/>
  <c r="AR48" i="5"/>
  <c r="Y48" i="5"/>
  <c r="P48" i="5"/>
  <c r="G48" i="5"/>
  <c r="AU48" i="5"/>
  <c r="U48" i="5"/>
  <c r="D48" i="5"/>
  <c r="AJ48" i="5"/>
  <c r="Q48" i="5"/>
  <c r="AV48" i="5"/>
  <c r="AM48" i="5"/>
  <c r="M48" i="5"/>
  <c r="AS48" i="5"/>
  <c r="Z48" i="5"/>
  <c r="I48" i="5"/>
  <c r="AW48" i="5"/>
  <c r="AN48" i="5"/>
  <c r="AF48" i="5"/>
  <c r="AA48" i="5"/>
  <c r="AG48" i="5"/>
  <c r="AY48" i="5"/>
  <c r="K48" i="5"/>
  <c r="N48" i="5"/>
  <c r="O48" i="5"/>
  <c r="H48" i="5"/>
  <c r="E48" i="5"/>
  <c r="AK48" i="5"/>
  <c r="AX48" i="5"/>
  <c r="AO48" i="5"/>
  <c r="AT48" i="5"/>
  <c r="J48" i="5"/>
  <c r="AP48" i="5"/>
  <c r="AD48" i="5"/>
  <c r="S48" i="5"/>
  <c r="AH48" i="5"/>
  <c r="V48" i="5"/>
  <c r="AQ48" i="5"/>
  <c r="W48" i="5"/>
  <c r="T48" i="5"/>
  <c r="X48" i="5"/>
  <c r="R48" i="5"/>
  <c r="AL48" i="5"/>
  <c r="AE48" i="5"/>
  <c r="AB48" i="5"/>
  <c r="C48" i="5"/>
  <c r="AZ48" i="5"/>
  <c r="F48" i="5"/>
  <c r="AI48" i="5"/>
  <c r="G74" i="5"/>
  <c r="G72" i="5"/>
  <c r="B7" i="7" l="1"/>
  <c r="B6" i="7"/>
  <c r="D80" i="5" s="1"/>
  <c r="C68" i="5"/>
  <c r="G4" i="7"/>
  <c r="G16" i="4" s="1"/>
  <c r="J94" i="5"/>
  <c r="D13" i="7" s="1"/>
  <c r="I94" i="5"/>
  <c r="G7" i="7"/>
  <c r="G78" i="5"/>
  <c r="BA48" i="5"/>
  <c r="C56" i="5"/>
  <c r="C60" i="5" s="1"/>
  <c r="C75" i="5" s="1"/>
  <c r="D75" i="5" s="1"/>
  <c r="C55" i="5"/>
  <c r="C54" i="5"/>
  <c r="C59" i="5" s="1"/>
  <c r="C53" i="5"/>
  <c r="C58" i="5" s="1"/>
  <c r="C52" i="5"/>
  <c r="C72" i="5" s="1"/>
  <c r="D72" i="5" s="1"/>
  <c r="C50" i="5"/>
  <c r="D12" i="7" l="1"/>
  <c r="H69" i="5" s="1"/>
  <c r="H80" i="5" s="1"/>
  <c r="G68" i="5"/>
  <c r="E68" i="5" s="1"/>
  <c r="C80" i="5"/>
  <c r="C71" i="5"/>
  <c r="G71" i="5" s="1"/>
  <c r="D71" i="5"/>
  <c r="D70" i="5"/>
  <c r="D69" i="5"/>
  <c r="I16" i="4"/>
  <c r="N17" i="4" s="1" a="1"/>
  <c r="N17" i="4" s="1"/>
  <c r="G10" i="7"/>
  <c r="J28" i="4"/>
  <c r="C70" i="5"/>
  <c r="C69" i="5"/>
  <c r="G69" i="5" s="1"/>
  <c r="J5" i="7"/>
  <c r="J4" i="7"/>
  <c r="M10" i="7"/>
  <c r="P4" i="7"/>
  <c r="H71" i="5"/>
  <c r="C76" i="5"/>
  <c r="D76" i="5" s="1"/>
  <c r="C78" i="5"/>
  <c r="D78" i="5" s="1"/>
  <c r="C64" i="5"/>
  <c r="C63" i="5"/>
  <c r="C81" i="5" s="1"/>
  <c r="D81" i="5" s="1"/>
  <c r="C73" i="5"/>
  <c r="D73" i="5" s="1"/>
  <c r="B103" i="6"/>
  <c r="J536" i="4" s="1"/>
  <c r="J16" i="7" l="1"/>
  <c r="J19" i="7" s="1"/>
  <c r="E71" i="5"/>
  <c r="F71" i="5" s="1"/>
  <c r="F81" i="5"/>
  <c r="F83" i="5"/>
  <c r="G70" i="5"/>
  <c r="G80" i="5"/>
  <c r="J541" i="4" s="1"/>
  <c r="E69" i="5"/>
  <c r="E80" i="5" s="1"/>
  <c r="J29" i="4"/>
  <c r="H70" i="5"/>
  <c r="P9" i="7"/>
  <c r="J540" i="4" s="1"/>
  <c r="F6" i="5"/>
  <c r="G81" i="5"/>
  <c r="F73" i="5"/>
  <c r="F82" i="5"/>
  <c r="F75" i="5"/>
  <c r="F76" i="5"/>
  <c r="F77" i="5"/>
  <c r="F72" i="5"/>
  <c r="F78" i="5"/>
  <c r="F74" i="5"/>
  <c r="F79" i="5"/>
  <c r="F68" i="5"/>
  <c r="M12" i="7"/>
  <c r="C74" i="5"/>
  <c r="D74" i="5" s="1"/>
  <c r="M45" i="5"/>
  <c r="C61" i="5" s="1"/>
  <c r="E70" i="5" l="1"/>
  <c r="G546" i="4"/>
  <c r="G548" i="4"/>
  <c r="G550" i="4"/>
  <c r="F34" i="4"/>
  <c r="G34" i="4" s="1"/>
  <c r="F80" i="5" l="1"/>
  <c r="F70" i="5"/>
  <c r="F69" i="5"/>
  <c r="G551" i="4" a="1"/>
  <c r="G551" i="4" s="1"/>
  <c r="G540" i="4"/>
  <c r="G24" i="4"/>
  <c r="D14" i="5" s="1"/>
  <c r="F14" i="5" s="1"/>
  <c r="G22" i="4"/>
  <c r="D12" i="5" s="1"/>
  <c r="F12" i="5" s="1"/>
  <c r="F24" i="5"/>
  <c r="G29" i="4"/>
  <c r="F35" i="5"/>
  <c r="F30" i="5"/>
  <c r="F29" i="5"/>
  <c r="F11" i="5"/>
  <c r="F4" i="5"/>
  <c r="G20" i="4"/>
  <c r="J537" i="4" l="1"/>
  <c r="J534" i="4"/>
  <c r="J533" i="4"/>
  <c r="G25" i="5"/>
  <c r="G25" i="4" a="1"/>
  <c r="G25" i="4" s="1"/>
  <c r="F28" i="5"/>
  <c r="G36" i="5" s="1"/>
  <c r="G7" i="5"/>
  <c r="J532" i="4" l="1"/>
  <c r="S9" i="7"/>
  <c r="G17" i="4" a="1"/>
  <c r="G17" i="4" s="1"/>
  <c r="D39" i="5"/>
  <c r="F39" i="5" s="1"/>
  <c r="G541" i="4"/>
  <c r="G538" i="4"/>
  <c r="G536" i="4"/>
  <c r="G535" i="4"/>
  <c r="G534" i="4"/>
  <c r="G533" i="4"/>
  <c r="G28" i="4"/>
  <c r="D13" i="5"/>
  <c r="K18" i="4" l="1" a="1"/>
  <c r="K18" i="4" s="1"/>
  <c r="F13" i="5"/>
  <c r="G542" i="4" a="1"/>
  <c r="G542" i="4" s="1"/>
  <c r="K15" i="4" s="1"/>
  <c r="G35" i="4" a="1"/>
  <c r="G35" i="4" s="1"/>
  <c r="G15" i="5" l="1"/>
  <c r="F41" i="5"/>
  <c r="K14" i="4"/>
  <c r="K11" i="4" s="1"/>
  <c r="K17" i="4" a="1"/>
  <c r="K17" i="4" s="1"/>
  <c r="K19" i="4" s="1"/>
  <c r="G553" i="4"/>
  <c r="K10" i="4" s="1" a="1"/>
  <c r="K10" i="4" s="1"/>
  <c r="J9" i="5" l="1"/>
  <c r="J10" i="5" s="1"/>
  <c r="K8" i="4" s="1"/>
  <c r="K9"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Justin Patenaude, C.P.A.</author>
  </authors>
  <commentList>
    <comment ref="K11" authorId="0" shapeId="0" xr:uid="{EE3B2569-2053-4DC9-9DA3-1F5A024FCF90}">
      <text>
        <r>
          <rPr>
            <sz val="9"/>
            <color indexed="81"/>
            <rFont val="Tahoma"/>
            <family val="2"/>
          </rPr>
          <t xml:space="preserve">Between 0.7 and 1.3 for large projects
Between 0.7 and 2.0 for Fire O&amp;C
Between 2.0 and 2.5 for typical daily projects
Over 3.0 for CAT/LIT projects
</t>
        </r>
        <r>
          <rPr>
            <b/>
            <sz val="9"/>
            <color indexed="81"/>
            <rFont val="Tahoma"/>
            <family val="2"/>
          </rPr>
          <t>Not valid for Desk Review</t>
        </r>
      </text>
    </comment>
    <comment ref="J535" authorId="0" shapeId="0" xr:uid="{6BFEEFFA-98A6-446F-8A2D-67E62A2FF67F}">
      <text>
        <r>
          <rPr>
            <sz val="9"/>
            <color indexed="81"/>
            <rFont val="Tahoma"/>
            <family val="2"/>
          </rPr>
          <t>typically 0.05*Number of Pages</t>
        </r>
      </text>
    </comment>
    <comment ref="J536" authorId="0" shapeId="0" xr:uid="{41D45ACC-3E3B-464A-B9F8-AC0CEA45DAD8}">
      <text>
        <r>
          <rPr>
            <sz val="9"/>
            <color indexed="81"/>
            <rFont val="Tahoma"/>
            <family val="2"/>
          </rPr>
          <t>typically 0.01*Number of Provided Document pages</t>
        </r>
      </text>
    </comment>
    <comment ref="J538" authorId="0" shapeId="0" xr:uid="{6DD22169-02D5-402A-A3AF-956A86857F1A}">
      <text>
        <r>
          <rPr>
            <sz val="9"/>
            <color indexed="81"/>
            <rFont val="Tahoma"/>
            <family val="2"/>
          </rPr>
          <t>typically 0.075*Number of Pages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Justin Patenaude, C.P.A.</author>
  </authors>
  <commentList>
    <comment ref="B14" authorId="0" shapeId="0" xr:uid="{7A2B9F63-9D9F-4061-95C9-32C99D53BA55}">
      <text>
        <r>
          <rPr>
            <sz val="9"/>
            <color indexed="81"/>
            <rFont val="Tahoma"/>
            <family val="2"/>
          </rPr>
          <t xml:space="preserve">Assume 1 electrical panel per 1500SF
Double the electrical panels for large homes to account for home automation
1 electrical panel for fire supression and 1 electrical panel per elevator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tc={2DB702B4-C892-40BA-A6CE-BD53F336CB90}</author>
  </authors>
  <commentList>
    <comment ref="C1" authorId="0" shapeId="0" xr:uid="{2DB702B4-C892-40BA-A6CE-BD53F336CB90}">
      <text>
        <t>[Threaded comment]
Your version of Excel allows you to read this threaded comment; however, any edits to it will get removed if the file is opened in a newer version of Excel. Learn more: https://go.microsoft.com/fwlink/?linkid=870924
Comment:
    It asks if we want to reset the value but even when you choose no it clears the areas and perimeters.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<sst xmlns="http://schemas.openxmlformats.org/spreadsheetml/2006/main" count="1814" uniqueCount="530">
  <si>
    <t>PROPOSED BUDGET</t>
  </si>
  <si>
    <t>XXX</t>
  </si>
  <si>
    <t xml:space="preserve">Property/Insured: </t>
  </si>
  <si>
    <t>Proposal Date:</t>
  </si>
  <si>
    <t># of Days</t>
  </si>
  <si>
    <t>Qty</t>
  </si>
  <si>
    <t>Rate</t>
  </si>
  <si>
    <t>Total</t>
  </si>
  <si>
    <t xml:space="preserve">Site Address(es): </t>
  </si>
  <si>
    <t>BSC File Number:</t>
  </si>
  <si>
    <t>XXXXXX</t>
  </si>
  <si>
    <t>Client File Number:</t>
  </si>
  <si>
    <t>PROJECT SETUP FEES</t>
  </si>
  <si>
    <t>Administrative Fee</t>
  </si>
  <si>
    <t>Permanent Archive</t>
  </si>
  <si>
    <t>TRAVEL PHASE*</t>
  </si>
  <si>
    <t>Headcount</t>
  </si>
  <si>
    <t>Hours per day</t>
  </si>
  <si>
    <t>Expert - Travel to/from Site</t>
  </si>
  <si>
    <t>Miles per day</t>
  </si>
  <si>
    <t>Mileage Estimated</t>
  </si>
  <si>
    <t>Per Diem-Lodging + Meals Per Night (IRS GSA Rate)</t>
  </si>
  <si>
    <t>INVESTIGATION PHASE*</t>
  </si>
  <si>
    <t>Hours</t>
  </si>
  <si>
    <t>Technician – Assemble Data</t>
  </si>
  <si>
    <t>Expert - Assemble, Verify, and Compile Data</t>
  </si>
  <si>
    <t>Coordination/Meetings</t>
  </si>
  <si>
    <t>Document Review</t>
  </si>
  <si>
    <t>Technical Review</t>
  </si>
  <si>
    <t>Qty of pages</t>
  </si>
  <si>
    <t>Q-PDF Drawings - Per Page</t>
  </si>
  <si>
    <t>ESTIMATED THIRD-PARTY SERVICE PHASE*</t>
  </si>
  <si>
    <t>Days</t>
  </si>
  <si>
    <t>Qty of Samples</t>
  </si>
  <si>
    <t>*Invoices may be issued monthly or upon phase completion</t>
  </si>
  <si>
    <t>Accepted By ________________________________</t>
  </si>
  <si>
    <t xml:space="preserve">PROJECT TOTAL </t>
  </si>
  <si>
    <t>Accepted Date_______________________________</t>
  </si>
  <si>
    <t>Total Services</t>
  </si>
  <si>
    <t>Total Expenses</t>
  </si>
  <si>
    <t>Total Report Phase</t>
  </si>
  <si>
    <t>Expert % Revenue Credit</t>
  </si>
  <si>
    <t>Total Tech Hours</t>
  </si>
  <si>
    <t>Total Expert Hours</t>
  </si>
  <si>
    <t>Estimated Tech Assemble Data Hours</t>
  </si>
  <si>
    <t>Multiplier</t>
  </si>
  <si>
    <t>Description</t>
  </si>
  <si>
    <t>Total Cost</t>
  </si>
  <si>
    <t>Admin Fee</t>
  </si>
  <si>
    <t>Perm Archive</t>
  </si>
  <si>
    <t>Recon</t>
  </si>
  <si>
    <t>TRAVEL PHASE</t>
  </si>
  <si>
    <t>Expert Travel</t>
  </si>
  <si>
    <t>add 3 hours</t>
  </si>
  <si>
    <t>Tech Travel</t>
  </si>
  <si>
    <t>Mileage</t>
  </si>
  <si>
    <t>Airfare</t>
  </si>
  <si>
    <t>Overnight</t>
  </si>
  <si>
    <t>INVESTIGATION PHASE</t>
  </si>
  <si>
    <t>REPORT PHASE</t>
  </si>
  <si>
    <t>* Pages</t>
  </si>
  <si>
    <t>Assemble Data</t>
  </si>
  <si>
    <t>AVC</t>
  </si>
  <si>
    <t>* QPDF</t>
  </si>
  <si>
    <t>ESTIMATED THIRD-PARTY SERVICE PHASE</t>
  </si>
  <si>
    <t>3rd Party Services</t>
  </si>
  <si>
    <t>TOTAL</t>
  </si>
  <si>
    <t>Types of Assignment</t>
  </si>
  <si>
    <t>GNRL</t>
  </si>
  <si>
    <t>Fire</t>
  </si>
  <si>
    <t>Discipline</t>
  </si>
  <si>
    <t>Mechanical/Electrical</t>
  </si>
  <si>
    <t>Structural/Fenestration</t>
  </si>
  <si>
    <t>Est. Tech Hours</t>
  </si>
  <si>
    <t>*to use if airfare will be billed to client</t>
  </si>
  <si>
    <t>Ratio</t>
  </si>
  <si>
    <t>Revenue Summary</t>
  </si>
  <si>
    <t>Hours Summary</t>
  </si>
  <si>
    <t>CAT/LIT</t>
  </si>
  <si>
    <t>Hourly Rate</t>
  </si>
  <si>
    <t>Page Rate</t>
  </si>
  <si>
    <t>Type</t>
  </si>
  <si>
    <t>EXPERTS</t>
  </si>
  <si>
    <t>TECHNICIANS</t>
  </si>
  <si>
    <t xml:space="preserve">Multiplier Notes </t>
  </si>
  <si>
    <t>Tech</t>
  </si>
  <si>
    <t>Expert</t>
  </si>
  <si>
    <t>Project Manager</t>
  </si>
  <si>
    <t>PROJECT MANAGER</t>
  </si>
  <si>
    <t>Project/Field Manager</t>
  </si>
  <si>
    <t>Estimated Expert Assemble Data Hrs</t>
  </si>
  <si>
    <t>[ENTER DESCRIPTION]</t>
  </si>
  <si>
    <t>You cannot undo the reset, please make sure you save before clicking this box</t>
  </si>
  <si>
    <t>Title</t>
  </si>
  <si>
    <t>Report Pages</t>
  </si>
  <si>
    <t>Estimated Profit %</t>
  </si>
  <si>
    <t>Estimated Profit $</t>
  </si>
  <si>
    <t>Gross Margin:</t>
  </si>
  <si>
    <t>Gross Profit:</t>
  </si>
  <si>
    <t>Roof Facets</t>
  </si>
  <si>
    <t>Fenestrations</t>
  </si>
  <si>
    <t>Qty. of Elevators</t>
  </si>
  <si>
    <t>Qty. of Ext. HVAC Units</t>
  </si>
  <si>
    <t>Qty. of Int. HVAC Units</t>
  </si>
  <si>
    <t>Qty. of Electrical Panels</t>
  </si>
  <si>
    <t>Flat Roof</t>
  </si>
  <si>
    <t>Perimeter</t>
  </si>
  <si>
    <t>Level Area</t>
  </si>
  <si>
    <t>Elevators</t>
  </si>
  <si>
    <t>Ext. HVAC</t>
  </si>
  <si>
    <t>Int. HVAC</t>
  </si>
  <si>
    <t>Electric Gates</t>
  </si>
  <si>
    <t>Electrical Panels</t>
  </si>
  <si>
    <t>Calcs.</t>
  </si>
  <si>
    <t>Ext. HVAC Assessment</t>
  </si>
  <si>
    <t>Int. HVAC Assessment</t>
  </si>
  <si>
    <t>Electrical Assessment</t>
  </si>
  <si>
    <t>Roof Inspection (HR)</t>
  </si>
  <si>
    <t>Perimeter Inspection (HR)</t>
  </si>
  <si>
    <t>Interior Moisture Inspection (HR)</t>
  </si>
  <si>
    <t>Foundation Inspection (HR)</t>
  </si>
  <si>
    <t>Roof &amp; Moisture</t>
  </si>
  <si>
    <t>Structural Only</t>
  </si>
  <si>
    <t>Roof, Moisture &amp; Structural</t>
  </si>
  <si>
    <t>Elevators Only</t>
  </si>
  <si>
    <t>HVAC Int. &amp; Ext.</t>
  </si>
  <si>
    <t>Fenestration Only</t>
  </si>
  <si>
    <t>Electrical Assessment w/ Meger Test</t>
  </si>
  <si>
    <t>*Per diem/lodging is used when the travel time exceeds (1.5 hours) and the travel plus inspection time equals or exceeds 12 hours.</t>
  </si>
  <si>
    <t>HVAC Ext. Only</t>
  </si>
  <si>
    <t>Flooring</t>
  </si>
  <si>
    <t>Wall Assembly</t>
  </si>
  <si>
    <t>Mold Causation</t>
  </si>
  <si>
    <t>Report Type</t>
  </si>
  <si>
    <t>Assignment Type</t>
  </si>
  <si>
    <t>[SELECT]</t>
  </si>
  <si>
    <t>Area 1 (SF)</t>
  </si>
  <si>
    <t>Area 2 (SF)</t>
  </si>
  <si>
    <t>Area 3 (SF)</t>
  </si>
  <si>
    <t>Area 4 (SF)</t>
  </si>
  <si>
    <t>Area 5 (SF)</t>
  </si>
  <si>
    <t>Area 6 (SF)</t>
  </si>
  <si>
    <t>Area 7 (SF)</t>
  </si>
  <si>
    <t>Area 8 (SF)</t>
  </si>
  <si>
    <t>Area 9 (SF)</t>
  </si>
  <si>
    <t>Area 10 (SF)</t>
  </si>
  <si>
    <t>Perimeter 1 (LF)</t>
  </si>
  <si>
    <t>Perimeter 2 (LF)</t>
  </si>
  <si>
    <t>Meetings</t>
  </si>
  <si>
    <t>Tech Review</t>
  </si>
  <si>
    <t>Perimeter 3 (LF)</t>
  </si>
  <si>
    <t>Perimeter 4 (LF)</t>
  </si>
  <si>
    <t>Perimeter 5 (LF)</t>
  </si>
  <si>
    <t>Perimeter 6 (LF)</t>
  </si>
  <si>
    <t>Perimeter 7 (LF)</t>
  </si>
  <si>
    <t>Perimeter 8 (LF)</t>
  </si>
  <si>
    <t>Perimeter 9 (LF)</t>
  </si>
  <si>
    <t>Perimeter 10 (LF)</t>
  </si>
  <si>
    <t>Key Metrics</t>
  </si>
  <si>
    <t>Airline Fees:</t>
  </si>
  <si>
    <t>Total Expert Credit</t>
  </si>
  <si>
    <t>Recommended Pages</t>
  </si>
  <si>
    <t>Structural/Director</t>
  </si>
  <si>
    <t>Quantity</t>
  </si>
  <si>
    <t>Qty. of Floors</t>
  </si>
  <si>
    <t>Perimeter 11 (LF)</t>
  </si>
  <si>
    <t>Perimeter 12 (LF)</t>
  </si>
  <si>
    <t>Perimeter 13 (LF)</t>
  </si>
  <si>
    <t>Perimeter 14 (LF)</t>
  </si>
  <si>
    <t>Perimeter 15 (LF)</t>
  </si>
  <si>
    <t>Perimeter 16 (LF)</t>
  </si>
  <si>
    <t>Perimeter 17 (LF)</t>
  </si>
  <si>
    <t>Perimeter 18 (LF)</t>
  </si>
  <si>
    <t>Perimeter 19 (LF)</t>
  </si>
  <si>
    <t>Perimeter 20 (LF)</t>
  </si>
  <si>
    <t>Perimeter 21 (LF)</t>
  </si>
  <si>
    <t>Perimeter 22 (LF)</t>
  </si>
  <si>
    <t>Perimeter 23 (LF)</t>
  </si>
  <si>
    <t>Perimeter 24 (LF)</t>
  </si>
  <si>
    <t>Perimeter 25 (LF)</t>
  </si>
  <si>
    <t>Perimeter 26 (LF)</t>
  </si>
  <si>
    <t>Perimeter 27 (LF)</t>
  </si>
  <si>
    <t>Perimeter 28 (LF)</t>
  </si>
  <si>
    <t>Perimeter 29 (LF)</t>
  </si>
  <si>
    <t>Perimeter 30 (LF)</t>
  </si>
  <si>
    <t>Perimeter 31 (LF)</t>
  </si>
  <si>
    <t>Perimeter 32 (LF)</t>
  </si>
  <si>
    <t>Perimeter 33 (LF)</t>
  </si>
  <si>
    <t>Perimeter 34 (LF)</t>
  </si>
  <si>
    <t>Perimeter 35 (LF)</t>
  </si>
  <si>
    <t>Perimeter 36 (LF)</t>
  </si>
  <si>
    <t>Perimeter 37 (LF)</t>
  </si>
  <si>
    <t>Perimeter 38 (LF)</t>
  </si>
  <si>
    <t>Perimeter 39 (LF)</t>
  </si>
  <si>
    <t>Perimeter 40 (LF)</t>
  </si>
  <si>
    <t>Perimeter 41 (LF)</t>
  </si>
  <si>
    <t>Perimeter 42 (LF)</t>
  </si>
  <si>
    <t>Perimeter 43 (LF)</t>
  </si>
  <si>
    <t>Perimeter 44 (LF)</t>
  </si>
  <si>
    <t>Perimeter 45 (LF)</t>
  </si>
  <si>
    <t>Perimeter 46 (LF)</t>
  </si>
  <si>
    <t>Perimeter 47 (LF)</t>
  </si>
  <si>
    <t>Perimeter 48 (LF)</t>
  </si>
  <si>
    <t>Perimeter 49 (LF)</t>
  </si>
  <si>
    <t>Perimeter 50 (LF)</t>
  </si>
  <si>
    <t>XX/XX/20XX</t>
  </si>
  <si>
    <t>Q-PDF Pages</t>
  </si>
  <si>
    <t>Total Perimeter</t>
  </si>
  <si>
    <t>Total Area</t>
  </si>
  <si>
    <t>Total Perimeter (LF)</t>
  </si>
  <si>
    <t>Total Area (SF)</t>
  </si>
  <si>
    <t>BUILDING 1</t>
  </si>
  <si>
    <t>INPUT SUMMARY</t>
  </si>
  <si>
    <t>BUILDING 2</t>
  </si>
  <si>
    <t>BUILDING 3</t>
  </si>
  <si>
    <t>BUILDING 4</t>
  </si>
  <si>
    <t>BUILDING 5</t>
  </si>
  <si>
    <t>BUILDING 6</t>
  </si>
  <si>
    <t>BUILDING 7</t>
  </si>
  <si>
    <t>BUILDING 8</t>
  </si>
  <si>
    <t>BUILDING 9</t>
  </si>
  <si>
    <t>BUILDING 10</t>
  </si>
  <si>
    <t>BUILDING 11</t>
  </si>
  <si>
    <t>BUILDING 12</t>
  </si>
  <si>
    <t>BUILDING 13</t>
  </si>
  <si>
    <t>BUILDING 14</t>
  </si>
  <si>
    <t>BUILDING 15</t>
  </si>
  <si>
    <t>BUILDING 16</t>
  </si>
  <si>
    <t>BUILDING 17</t>
  </si>
  <si>
    <t>BUILDING 18</t>
  </si>
  <si>
    <t>BUILDING 19</t>
  </si>
  <si>
    <t>BUILDING 20</t>
  </si>
  <si>
    <t>BUILDING 21</t>
  </si>
  <si>
    <t>BUILDING 22</t>
  </si>
  <si>
    <t>BUILDING 23</t>
  </si>
  <si>
    <t>BUILDING 24</t>
  </si>
  <si>
    <t>BUILDING 25</t>
  </si>
  <si>
    <t>BUILDING 26</t>
  </si>
  <si>
    <t>BUILDING 27</t>
  </si>
  <si>
    <t>BUILDING 28</t>
  </si>
  <si>
    <t>BUILDING 29</t>
  </si>
  <si>
    <t>BUILDING 30</t>
  </si>
  <si>
    <t>BUILDING 31</t>
  </si>
  <si>
    <t>BUILDING 32</t>
  </si>
  <si>
    <t>BUILDING 33</t>
  </si>
  <si>
    <t>BUILDING 34</t>
  </si>
  <si>
    <t>BUILDING 35</t>
  </si>
  <si>
    <t>BUILDING 36</t>
  </si>
  <si>
    <t>BUILDING 37</t>
  </si>
  <si>
    <t>BUILDING 38</t>
  </si>
  <si>
    <t>BUILDING 39</t>
  </si>
  <si>
    <t>BUILDING 40</t>
  </si>
  <si>
    <t>BUILDING 41</t>
  </si>
  <si>
    <t>BUILDING 42</t>
  </si>
  <si>
    <t>BUILDING 43</t>
  </si>
  <si>
    <t>BUILDING 44</t>
  </si>
  <si>
    <t>BUILDING 45</t>
  </si>
  <si>
    <t>BUILDING 46</t>
  </si>
  <si>
    <t>BUILDING 47</t>
  </si>
  <si>
    <t>BUILDING 48</t>
  </si>
  <si>
    <t>BUILDING 49</t>
  </si>
  <si>
    <t>BUILDING 50</t>
  </si>
  <si>
    <t>UNAVAIL. - SEE BILL</t>
  </si>
  <si>
    <t>Flat Roof "If" Formulas</t>
  </si>
  <si>
    <t>Level Area "If" Formulas</t>
  </si>
  <si>
    <t>Recommended</t>
  </si>
  <si>
    <t>Client</t>
  </si>
  <si>
    <t>Fire - Liberty Mutual/State Auto</t>
  </si>
  <si>
    <t>Litigation - State Farm</t>
  </si>
  <si>
    <t>N/A</t>
  </si>
  <si>
    <t>Client (Special Rates Only)</t>
  </si>
  <si>
    <t>Fire O&amp;C</t>
  </si>
  <si>
    <t>Equipment Breakdown</t>
  </si>
  <si>
    <t>Lift Rental</t>
  </si>
  <si>
    <t>Laboratory Analysis</t>
  </si>
  <si>
    <t>This works for Mech/Electrical wipe samples.</t>
  </si>
  <si>
    <t>This works for roof samples.</t>
  </si>
  <si>
    <t>Roof Only</t>
  </si>
  <si>
    <t>Qty. of Equipment</t>
  </si>
  <si>
    <t>Expert - Field Assessment</t>
  </si>
  <si>
    <t>Technician - Field Assessment Support</t>
  </si>
  <si>
    <t>Expert Analysis</t>
  </si>
  <si>
    <t>NO CALCULATION AS OF NOW</t>
  </si>
  <si>
    <t>Expert Field Assessment</t>
  </si>
  <si>
    <t>Tech Field Assessment</t>
  </si>
  <si>
    <t>Expert - Lab Assessment</t>
  </si>
  <si>
    <t>Technician - Lab Assessment Support</t>
  </si>
  <si>
    <t>Tech Lab Assessment</t>
  </si>
  <si>
    <t>Expert Lab Assessment</t>
  </si>
  <si>
    <t>Expert - Evidence Processing</t>
  </si>
  <si>
    <t>Technician - Evidence Processing</t>
  </si>
  <si>
    <t>Expert Evidence Processing</t>
  </si>
  <si>
    <t>Tech Evidence Processing</t>
  </si>
  <si>
    <t>Project Recon, Site Imaging, Mapping, and Key Planning</t>
  </si>
  <si>
    <t>Pages</t>
  </si>
  <si>
    <t>Roof IDs</t>
  </si>
  <si>
    <t>Fenestrations IDs</t>
  </si>
  <si>
    <t>Wall IDs</t>
  </si>
  <si>
    <t>Moisture IDs</t>
  </si>
  <si>
    <t>Structural IDs</t>
  </si>
  <si>
    <t>Roof Artboards</t>
  </si>
  <si>
    <t>Wall Artboards</t>
  </si>
  <si>
    <t>Moisture Artboards</t>
  </si>
  <si>
    <t>Structural Artboards</t>
  </si>
  <si>
    <t>Fenestration Artboards</t>
  </si>
  <si>
    <t>Project Summary</t>
  </si>
  <si>
    <t>Name</t>
  </si>
  <si>
    <t>HyperLinks</t>
  </si>
  <si>
    <t>Moisture Conditions</t>
  </si>
  <si>
    <t>Roof Conditions</t>
  </si>
  <si>
    <t>Wall Conditions</t>
  </si>
  <si>
    <t>Structural Conditions</t>
  </si>
  <si>
    <t>Fenestration Conditions</t>
  </si>
  <si>
    <t>Recon Travel</t>
  </si>
  <si>
    <t>Drone Recon</t>
  </si>
  <si>
    <t>Fene Recon</t>
  </si>
  <si>
    <t>Office Recon Drone</t>
  </si>
  <si>
    <t>Office Recon Fene</t>
  </si>
  <si>
    <t>iGuide Fees</t>
  </si>
  <si>
    <t>Total Roof Area (SF)</t>
  </si>
  <si>
    <t xml:space="preserve">iGuide </t>
  </si>
  <si>
    <t>Fene Artboards</t>
  </si>
  <si>
    <t>Power BI Roof</t>
  </si>
  <si>
    <t>Power BI Wall</t>
  </si>
  <si>
    <t>Power BI Fene</t>
  </si>
  <si>
    <t>Moisture QPDF</t>
  </si>
  <si>
    <t>Structural QPDF</t>
  </si>
  <si>
    <t>Moisture QPDFs</t>
  </si>
  <si>
    <t>Fene QPDFs</t>
  </si>
  <si>
    <t>Roof QPDFs</t>
  </si>
  <si>
    <t>Structural QPDFs</t>
  </si>
  <si>
    <t>Recon Phase Hours</t>
  </si>
  <si>
    <t>Investigation Phase Hours</t>
  </si>
  <si>
    <t>Total Recon Hours</t>
  </si>
  <si>
    <t>Total Investigation Hours</t>
  </si>
  <si>
    <t>QPDF Phase Hours</t>
  </si>
  <si>
    <t>Total QPDF Hours</t>
  </si>
  <si>
    <t>QPDF Phase Pages</t>
  </si>
  <si>
    <t>Total QPDF Pages</t>
  </si>
  <si>
    <t>Area 11 (SF)</t>
  </si>
  <si>
    <t>Area 12 (SF)</t>
  </si>
  <si>
    <t>Area 13 (SF)</t>
  </si>
  <si>
    <t>Area 14 (SF)</t>
  </si>
  <si>
    <t>Area 15 (SF)</t>
  </si>
  <si>
    <t>Area 16 (SF)</t>
  </si>
  <si>
    <t>Area 17 (SF)</t>
  </si>
  <si>
    <t>Area 18 (SF)</t>
  </si>
  <si>
    <t>Area 19 (SF)</t>
  </si>
  <si>
    <t>Area 20 (SF)</t>
  </si>
  <si>
    <t>Area 21 (SF)</t>
  </si>
  <si>
    <t>Area 22 (SF)</t>
  </si>
  <si>
    <t>Area 23 (SF)</t>
  </si>
  <si>
    <t>Area 24 (SF)</t>
  </si>
  <si>
    <t>Area 25 (SF)</t>
  </si>
  <si>
    <t>Area 26 (SF)</t>
  </si>
  <si>
    <t>Area 27 (SF)</t>
  </si>
  <si>
    <t>Area 28 (SF)</t>
  </si>
  <si>
    <t>Area 29 (SF)</t>
  </si>
  <si>
    <t>Area 30 (SF)</t>
  </si>
  <si>
    <t>Area 31 (SF)</t>
  </si>
  <si>
    <t>Area 32 (SF)</t>
  </si>
  <si>
    <t>Area 33 (SF)</t>
  </si>
  <si>
    <t>Area 34 (SF)</t>
  </si>
  <si>
    <t>Area 35 (SF)</t>
  </si>
  <si>
    <t>Area 36 (SF)</t>
  </si>
  <si>
    <t>Area 37 (SF)</t>
  </si>
  <si>
    <t>Area 38 (SF)</t>
  </si>
  <si>
    <t>Area 39 (SF)</t>
  </si>
  <si>
    <t>Area 40 (SF)</t>
  </si>
  <si>
    <t>Area 41 (SF)</t>
  </si>
  <si>
    <t>Area 42 (SF)</t>
  </si>
  <si>
    <t>Area 43 (SF)</t>
  </si>
  <si>
    <t>Area 44 (SF)</t>
  </si>
  <si>
    <t>Area 45 (SF)</t>
  </si>
  <si>
    <t>Area 46 (SF)</t>
  </si>
  <si>
    <t>Area 47 (SF)</t>
  </si>
  <si>
    <t>Area 48 (SF)</t>
  </si>
  <si>
    <t>Area 49 (SF)</t>
  </si>
  <si>
    <t>Area 50 (SF)</t>
  </si>
  <si>
    <t>Report Phase Pages</t>
  </si>
  <si>
    <t>Wall QPDFs</t>
  </si>
  <si>
    <t>Total Report Pages</t>
  </si>
  <si>
    <t>Fenestration Conditions (OVERRIDE)</t>
  </si>
  <si>
    <t>Moisture IDs (OVERRIDE)</t>
  </si>
  <si>
    <t>Structural IDs (OVERRIDE)</t>
  </si>
  <si>
    <t>Roof Conditions (OVERRIDE)</t>
  </si>
  <si>
    <t>Wall Conditions (OVERRIDE)</t>
  </si>
  <si>
    <t>Qty. of Electrical Panels (OVERRIDE)</t>
  </si>
  <si>
    <t>Moisture Conditions (OVERRIDE)</t>
  </si>
  <si>
    <t>Structural Conditions (OVERRIDE)</t>
  </si>
  <si>
    <t>Moisture Report Pages</t>
  </si>
  <si>
    <t>Fene Report Pages</t>
  </si>
  <si>
    <t>Roof Report Pages</t>
  </si>
  <si>
    <t>Structural Report Pages</t>
  </si>
  <si>
    <t>Wall Report Pages</t>
  </si>
  <si>
    <t>Expert Field Hours</t>
  </si>
  <si>
    <t>Tech Field Hours</t>
  </si>
  <si>
    <t>AVC/Assemble Data</t>
  </si>
  <si>
    <t>Building Enclosure (Roof, Moisture, &amp; Fene)</t>
  </si>
  <si>
    <t>Moisture Tracing - Tech</t>
  </si>
  <si>
    <t>Moisture Tracing - Expert</t>
  </si>
  <si>
    <t>Structural Assessment - Tech</t>
  </si>
  <si>
    <t>Structural Assessment - Expert</t>
  </si>
  <si>
    <t>Roof Inspection ID - Tech</t>
  </si>
  <si>
    <t>Roof Inspection ID - Expert</t>
  </si>
  <si>
    <t>Exterior Inspection - Tech</t>
  </si>
  <si>
    <t>Exterior Inspection - Expert</t>
  </si>
  <si>
    <t>Address</t>
  </si>
  <si>
    <t>Fene Inspection - Tech</t>
  </si>
  <si>
    <t>Fene Inspection - Expert</t>
  </si>
  <si>
    <t>Total Recommended Hours</t>
  </si>
  <si>
    <t>Fene Inspection - Expert (OVERRIDE)</t>
  </si>
  <si>
    <t>BUILDING 51</t>
  </si>
  <si>
    <t>BUILDING 52</t>
  </si>
  <si>
    <t>BUILDING 53</t>
  </si>
  <si>
    <t>BUILDING 54</t>
  </si>
  <si>
    <t>BUILDING 55</t>
  </si>
  <si>
    <t>BUILDING 56</t>
  </si>
  <si>
    <t>BUILDING 57</t>
  </si>
  <si>
    <t>BUILDING 58</t>
  </si>
  <si>
    <t>BUILDING 59</t>
  </si>
  <si>
    <t>BUILDING 60</t>
  </si>
  <si>
    <t>BUILDING 61</t>
  </si>
  <si>
    <t>BUILDING 62</t>
  </si>
  <si>
    <t>BUILDING 63</t>
  </si>
  <si>
    <t>BUILDING 64</t>
  </si>
  <si>
    <t>BUILDING 65</t>
  </si>
  <si>
    <t>BUILDING 66</t>
  </si>
  <si>
    <t>BUILDING 67</t>
  </si>
  <si>
    <t>BUILDING 68</t>
  </si>
  <si>
    <t>BUILDING 69</t>
  </si>
  <si>
    <t>BUILDING 70</t>
  </si>
  <si>
    <t>BUILDING 71</t>
  </si>
  <si>
    <t>BUILDING 72</t>
  </si>
  <si>
    <t>BUILDING 73</t>
  </si>
  <si>
    <t>BUILDING 74</t>
  </si>
  <si>
    <t>BUILDING 75</t>
  </si>
  <si>
    <t>BUILDING 76</t>
  </si>
  <si>
    <t>BUILDING 77</t>
  </si>
  <si>
    <t>BUILDING 78</t>
  </si>
  <si>
    <t>BUILDING 79</t>
  </si>
  <si>
    <t>BUILDING 80</t>
  </si>
  <si>
    <t>BUILDING 81</t>
  </si>
  <si>
    <t>BUILDING 82</t>
  </si>
  <si>
    <t>BUILDING 83</t>
  </si>
  <si>
    <t>BUILDING 84</t>
  </si>
  <si>
    <t>BUILDING 85</t>
  </si>
  <si>
    <t>BUILDING 86</t>
  </si>
  <si>
    <t>BUILDING 87</t>
  </si>
  <si>
    <t>BUILDING 88</t>
  </si>
  <si>
    <t>BUILDING 89</t>
  </si>
  <si>
    <t>BUILDING 90</t>
  </si>
  <si>
    <t>BUILDING 91</t>
  </si>
  <si>
    <t>BUILDING 92</t>
  </si>
  <si>
    <t>BUILDING 93</t>
  </si>
  <si>
    <t>BUILDING 94</t>
  </si>
  <si>
    <t>BUILDING 95</t>
  </si>
  <si>
    <t>BUILDING 96</t>
  </si>
  <si>
    <t>BUILDING 97</t>
  </si>
  <si>
    <t>BUILDING 98</t>
  </si>
  <si>
    <t>BUILDING 99</t>
  </si>
  <si>
    <t>BUILDING 100</t>
  </si>
  <si>
    <r>
      <t xml:space="preserve">Qty. of Buildings </t>
    </r>
    <r>
      <rPr>
        <i/>
        <sz val="11"/>
        <rFont val="Arial"/>
        <family val="2"/>
      </rPr>
      <t>(70 max.)</t>
    </r>
  </si>
  <si>
    <t>plus applicable sales tax</t>
  </si>
  <si>
    <t>ASSESSMENT PHASE*</t>
  </si>
  <si>
    <t>Total Assessment Phase</t>
  </si>
  <si>
    <t>ANALYSIS &amp; REPORTING PHASE*</t>
  </si>
  <si>
    <t>Develop Drawings</t>
  </si>
  <si>
    <t>Develop Report of Findings</t>
  </si>
  <si>
    <t>Review Provided Materials</t>
  </si>
  <si>
    <t>MATERIALS PROVIDED</t>
  </si>
  <si>
    <t># of Buildings</t>
  </si>
  <si>
    <t># of Levels</t>
  </si>
  <si>
    <t>Building 1</t>
  </si>
  <si>
    <t>Input</t>
  </si>
  <si>
    <t>Area</t>
  </si>
  <si>
    <t>Total:</t>
  </si>
  <si>
    <t>iGuide</t>
  </si>
  <si>
    <t>BUILDING DETAIL SUMMARY</t>
  </si>
  <si>
    <t>RECON PHASE HOURS</t>
  </si>
  <si>
    <t>ASSESSMENT PHASE HOURS</t>
  </si>
  <si>
    <t>REPORT PHASE HOURS</t>
  </si>
  <si>
    <t>Total Hours</t>
  </si>
  <si>
    <t>Tech Report covered Hours</t>
  </si>
  <si>
    <t>Expert Report Alloted Hours</t>
  </si>
  <si>
    <t>Allocation Profit</t>
  </si>
  <si>
    <t>Recon Cost</t>
  </si>
  <si>
    <t>Tech Assemble Data Cost</t>
  </si>
  <si>
    <t>Expert Report Cost</t>
  </si>
  <si>
    <t>Cost to cover pages Total</t>
  </si>
  <si>
    <t>Moisture Drawings</t>
  </si>
  <si>
    <t>Structural Drawings</t>
  </si>
  <si>
    <t>Total Drawings Hours</t>
  </si>
  <si>
    <t>Fene Drawings</t>
  </si>
  <si>
    <t>Roof Drawings</t>
  </si>
  <si>
    <t>Wall Drawings</t>
  </si>
  <si>
    <t>Total Drawings Pages</t>
  </si>
  <si>
    <t>MEASUREMENT SUMMARY</t>
  </si>
  <si>
    <t>Examination of Materials</t>
  </si>
  <si>
    <t>Develop Drawing Cost</t>
  </si>
  <si>
    <t>VP Allocation Cost</t>
  </si>
  <si>
    <t>PM Allocation Cost</t>
  </si>
  <si>
    <t>Total Expert Analysis</t>
  </si>
  <si>
    <t>Total VP Hours</t>
  </si>
  <si>
    <t>Total PM Hours</t>
  </si>
  <si>
    <t>Develop Drawings Hours</t>
  </si>
  <si>
    <t>Tech Develop Drawing Hours</t>
  </si>
  <si>
    <t>Tech Report Preparation Hours</t>
  </si>
  <si>
    <t>Fenestration Drawings</t>
  </si>
  <si>
    <t>Tech Travel Hours</t>
  </si>
  <si>
    <t>Technician Field Assessment</t>
  </si>
  <si>
    <t>PM/FM Field Assessment</t>
  </si>
  <si>
    <t>Expert Summary Hours</t>
  </si>
  <si>
    <t>Technician Summary Hours</t>
  </si>
  <si>
    <t>Technician ASSIGN Hours</t>
  </si>
  <si>
    <t>Expert ASSIGN Hours</t>
  </si>
  <si>
    <t>Technician Travel Cost</t>
  </si>
  <si>
    <t>Technician COST Summary</t>
  </si>
  <si>
    <t>Expert COST Summary</t>
  </si>
  <si>
    <t>Manual Entry</t>
  </si>
  <si>
    <t>BUILDING DETAILS</t>
  </si>
  <si>
    <t>DRAWING PHASE PAGES</t>
  </si>
  <si>
    <t>DRAWING PHASE HOURS</t>
  </si>
  <si>
    <t>SUMMARY</t>
  </si>
  <si>
    <t>RECON &amp; ASSESSMENT</t>
  </si>
  <si>
    <t>REPORT</t>
  </si>
  <si>
    <t>COST</t>
  </si>
  <si>
    <t>Level 1</t>
  </si>
  <si>
    <t>Level 2</t>
  </si>
  <si>
    <t>Level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</si>
</sst>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7" formatCode="&quot;$&quot;#,##0.00_);\(&quot;$&quot;#,##0.00\)"/>
    <numFmt numFmtId="44" formatCode="_(&quot;$&quot;* #,##0.00_);_(&quot;$&quot;* \(#,##0.00\);_(&quot;$&quot;* &quot;-&quot;??_);_(@_)"/>
    <numFmt numFmtId="43" formatCode="_(* #,##0.00_);_(* \(#,##0.00\);_(* &quot;-&quot;??_);_(@_)"/>
    <numFmt numFmtId="164" formatCode="_(* #,##0.0_);_(* \(#,##0.0\);_(* &quot;-&quot;??_);_(@_)"/>
    <numFmt numFmtId="165" formatCode="_(* #,##0_);_(* \(#,##0\);_(* &quot;-&quot;??_);_(@_)"/>
    <numFmt numFmtId="166" formatCode="0.0"/>
  </numFmts>
  <fonts count="34"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Arial"/>
      <family val="2"/>
    </font>
    <font>
      <b/>
      <sz val="10"/>
      <name val="Arial"/>
      <family val="2"/>
    </font>
    <font>
      <b/>
      <sz val="16"/>
      <name val="Arial"/>
      <family val="2"/>
    </font>
    <font>
      <b/>
      <sz val="20"/>
      <name val="Arial"/>
      <family val="2"/>
    </font>
    <font>
      <sz val="20"/>
      <color theme="1"/>
      <name val="Calibri"/>
      <family val="2"/>
      <scheme val="minor"/>
    </font>
    <font>
      <b/>
      <sz val="12"/>
      <name val="Arial"/>
      <family val="2"/>
    </font>
    <font>
      <b/>
      <sz val="11"/>
      <name val="Arial"/>
      <family val="2"/>
    </font>
    <font>
      <sz val="10"/>
      <name val="Arial"/>
      <family val="2"/>
    </font>
    <font>
      <b/>
      <sz val="9"/>
      <color theme="1"/>
      <name val="Arial"/>
      <family val="2"/>
    </font>
    <font>
      <b/>
      <sz val="10"/>
      <color theme="1"/>
      <name val="Arial"/>
      <family val="2"/>
    </font>
    <font>
      <b/>
      <sz val="14"/>
      <color theme="1"/>
      <name val="Arial"/>
      <family val="2"/>
    </font>
    <font>
      <b/>
      <sz val="14"/>
      <color theme="1"/>
      <name val="Calibri"/>
      <family val="2"/>
      <scheme val="minor"/>
    </font>
    <font>
      <i/>
      <sz val="10"/>
      <name val="Arial"/>
      <family val="2"/>
    </font>
    <font>
      <i/>
      <sz val="11"/>
      <color theme="1"/>
      <name val="Calibri"/>
      <family val="2"/>
      <scheme val="minor"/>
    </font>
    <font>
      <sz val="9"/>
      <color indexed="81"/>
      <name val="Tahoma"/>
      <family val="2"/>
    </font>
    <font>
      <b/>
      <sz val="9"/>
      <color indexed="81"/>
      <name val="Tahoma"/>
      <family val="2"/>
    </font>
    <font>
      <b/>
      <i/>
      <sz val="11"/>
      <color theme="1"/>
      <name val="Calibri"/>
      <family val="2"/>
      <scheme val="minor"/>
    </font>
    <font>
      <i/>
      <sz val="11"/>
      <color rgb="FFFF0000"/>
      <name val="Calibri"/>
      <family val="2"/>
      <scheme val="minor"/>
    </font>
    <font>
      <sz val="11"/>
      <color indexed="8"/>
      <name val="Calibri"/>
      <family val="2"/>
      <scheme val="minor"/>
    </font>
    <font>
      <sz val="11"/>
      <color rgb="FFFF0000"/>
      <name val="Calibri"/>
      <family val="2"/>
      <scheme val="minor"/>
    </font>
    <font>
      <b/>
      <sz val="12"/>
      <color theme="1"/>
      <name val="Calibri"/>
      <family val="2"/>
      <scheme val="minor"/>
    </font>
    <font>
      <u/>
      <sz val="11"/>
      <color theme="10"/>
      <name val="Calibri"/>
      <family val="2"/>
      <scheme val="minor"/>
    </font>
    <font>
      <sz val="8"/>
      <name val="Calibri"/>
      <family val="2"/>
      <scheme val="minor"/>
    </font>
    <font>
      <b/>
      <sz val="11"/>
      <color rgb="FFFF0000"/>
      <name val="Arial"/>
      <family val="2"/>
    </font>
    <font>
      <i/>
      <sz val="11"/>
      <name val="Arial"/>
      <family val="2"/>
    </font>
    <font>
      <i/>
      <sz val="10"/>
      <color theme="1"/>
      <name val="Arial"/>
      <family val="2"/>
    </font>
    <font>
      <sz val="11"/>
      <name val="Calibri"/>
      <family val="2"/>
      <scheme val="minor"/>
    </font>
    <font>
      <b/>
      <sz val="11"/>
      <name val="Calibri"/>
      <family val="2"/>
      <scheme val="minor"/>
    </font>
    <font>
      <i/>
      <sz val="11"/>
      <name val="Calibri"/>
      <family val="2"/>
      <scheme val="minor"/>
    </font>
    <font>
      <b/>
      <sz val="11"/>
      <name val="Calibri"/>
      <family val="2"/>
    </font>
    <font>
      <b/>
      <sz val="20"/>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7" tint="0.59999389629810485"/>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FFE699"/>
        <bgColor indexed="64"/>
      </patternFill>
    </fill>
    <fill>
      <patternFill patternType="solid">
        <fgColor rgb="FFF5E663"/>
        <bgColor rgb="FFF5E663"/>
      </patternFill>
    </fill>
    <fill>
      <patternFill patternType="solid">
        <fgColor rgb="FFCFE8FC"/>
        <bgColor rgb="FFCFE8FC"/>
      </patternFill>
    </fill>
    <fill>
      <patternFill patternType="solid">
        <fgColor rgb="FFFFFF00"/>
        <bgColor rgb="FFCFE8FC"/>
      </patternFill>
    </fill>
    <fill>
      <patternFill patternType="solid">
        <fgColor rgb="FFFFF2CC"/>
        <bgColor indexed="64"/>
      </patternFill>
    </fill>
  </fills>
  <borders count="60">
    <border>
      <left/>
      <right/>
      <top/>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bottom/>
      <diagonal/>
    </border>
    <border>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style="medium">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rgb="FF000000"/>
      </bottom>
      <diagonal/>
    </border>
    <border>
      <left/>
      <right/>
      <top/>
      <bottom style="thin">
        <color rgb="FF000000"/>
      </bottom>
      <diagonal/>
    </border>
    <border>
      <left/>
      <right style="thin">
        <color indexed="64"/>
      </right>
      <top/>
      <bottom style="thin">
        <color rgb="FF000000"/>
      </bottom>
      <diagonal/>
    </border>
    <border>
      <left style="medium">
        <color indexed="64"/>
      </left>
      <right/>
      <top style="thin">
        <color rgb="FF000000"/>
      </top>
      <bottom/>
      <diagonal/>
    </border>
    <border>
      <left style="medium">
        <color indexed="64"/>
      </left>
      <right/>
      <top/>
      <bottom style="medium">
        <color rgb="FF000000"/>
      </bottom>
      <diagonal/>
    </border>
    <border>
      <left/>
      <right/>
      <top/>
      <bottom style="medium">
        <color rgb="FF000000"/>
      </bottom>
      <diagonal/>
    </border>
    <border>
      <left/>
      <right style="thin">
        <color indexed="64"/>
      </right>
      <top/>
      <bottom style="medium">
        <color rgb="FF000000"/>
      </bottom>
      <diagonal/>
    </border>
    <border>
      <left style="thin">
        <color indexed="64"/>
      </left>
      <right style="thin">
        <color indexed="64"/>
      </right>
      <top/>
      <bottom style="medium">
        <color rgb="FF000000"/>
      </bottom>
      <diagonal/>
    </border>
    <border>
      <left style="thin">
        <color indexed="64"/>
      </left>
      <right style="medium">
        <color indexed="64"/>
      </right>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6">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21" fillId="0" borderId="0"/>
    <xf numFmtId="0" fontId="24" fillId="0" borderId="0" applyNumberFormat="0" applyFill="0" applyBorder="0" applyAlignment="0" applyProtection="0"/>
  </cellStyleXfs>
  <cellXfs count="295">
    <xf numFmtId="0" fontId="0" fillId="0" borderId="0" xfId="0"/>
    <xf numFmtId="0" fontId="3" fillId="2" borderId="0" xfId="0" applyFont="1" applyFill="1"/>
    <xf numFmtId="0" fontId="3" fillId="0" borderId="0" xfId="0" applyFont="1"/>
    <xf numFmtId="0" fontId="4" fillId="2" borderId="0" xfId="0" applyFont="1" applyFill="1" applyAlignment="1">
      <alignment vertical="center" wrapText="1"/>
    </xf>
    <xf numFmtId="0" fontId="5" fillId="0" borderId="0" xfId="0" applyFont="1" applyAlignment="1">
      <alignment vertical="center" wrapText="1"/>
    </xf>
    <xf numFmtId="0" fontId="8" fillId="2" borderId="0" xfId="0" applyFont="1" applyFill="1" applyAlignment="1">
      <alignment vertical="center"/>
    </xf>
    <xf numFmtId="0" fontId="9" fillId="0" borderId="0" xfId="0" applyFont="1" applyAlignment="1">
      <alignment horizontal="right" vertical="center"/>
    </xf>
    <xf numFmtId="0" fontId="4" fillId="2" borderId="0" xfId="0" applyFont="1" applyFill="1" applyAlignment="1">
      <alignment horizontal="left" vertical="center"/>
    </xf>
    <xf numFmtId="0" fontId="4" fillId="2" borderId="0" xfId="0" applyFont="1" applyFill="1" applyAlignment="1">
      <alignment vertical="center"/>
    </xf>
    <xf numFmtId="14" fontId="4" fillId="2" borderId="0" xfId="0" applyNumberFormat="1" applyFont="1" applyFill="1" applyAlignment="1">
      <alignment horizontal="left" vertical="center" wrapText="1"/>
    </xf>
    <xf numFmtId="0" fontId="10" fillId="2" borderId="1" xfId="0" applyFont="1" applyFill="1" applyBorder="1" applyAlignment="1">
      <alignment vertical="center"/>
    </xf>
    <xf numFmtId="0" fontId="11" fillId="2" borderId="4" xfId="0" applyFont="1" applyFill="1" applyBorder="1" applyAlignment="1">
      <alignment horizontal="center" vertical="center"/>
    </xf>
    <xf numFmtId="0" fontId="11" fillId="2" borderId="5" xfId="0" applyFont="1" applyFill="1" applyBorder="1" applyAlignment="1">
      <alignment horizontal="center" vertical="center"/>
    </xf>
    <xf numFmtId="49" fontId="4" fillId="2" borderId="0" xfId="0" applyNumberFormat="1" applyFont="1" applyFill="1" applyAlignment="1">
      <alignment horizontal="left" vertical="center" wrapText="1"/>
    </xf>
    <xf numFmtId="0" fontId="10" fillId="2" borderId="6" xfId="0" applyFont="1" applyFill="1" applyBorder="1" applyAlignment="1">
      <alignment vertical="center"/>
    </xf>
    <xf numFmtId="0" fontId="10" fillId="2" borderId="7" xfId="0" applyFont="1" applyFill="1" applyBorder="1" applyAlignment="1">
      <alignment vertical="center"/>
    </xf>
    <xf numFmtId="164" fontId="3" fillId="2" borderId="8" xfId="1" applyNumberFormat="1" applyFont="1" applyFill="1" applyBorder="1" applyAlignment="1">
      <alignment horizontal="center" vertical="center"/>
    </xf>
    <xf numFmtId="0" fontId="4" fillId="2" borderId="0" xfId="0" applyFont="1" applyFill="1" applyAlignment="1">
      <alignment horizontal="left" vertical="center" wrapText="1"/>
    </xf>
    <xf numFmtId="49" fontId="4" fillId="2" borderId="0" xfId="0" applyNumberFormat="1" applyFont="1" applyFill="1" applyAlignment="1">
      <alignment vertical="center"/>
    </xf>
    <xf numFmtId="0" fontId="3" fillId="2" borderId="0" xfId="0" applyFont="1" applyFill="1" applyAlignment="1">
      <alignment vertical="center"/>
    </xf>
    <xf numFmtId="0" fontId="12" fillId="2" borderId="0" xfId="0" applyFont="1" applyFill="1" applyAlignment="1">
      <alignment vertical="center"/>
    </xf>
    <xf numFmtId="7" fontId="3" fillId="2" borderId="0" xfId="2" applyNumberFormat="1" applyFont="1" applyFill="1" applyBorder="1" applyAlignment="1">
      <alignment vertical="center"/>
    </xf>
    <xf numFmtId="0" fontId="12" fillId="2" borderId="1" xfId="0" applyFont="1" applyFill="1" applyBorder="1" applyAlignment="1">
      <alignment horizontal="left" vertical="center"/>
    </xf>
    <xf numFmtId="0" fontId="12" fillId="2" borderId="2" xfId="0" applyFont="1" applyFill="1" applyBorder="1" applyAlignment="1">
      <alignment horizontal="center" vertical="center"/>
    </xf>
    <xf numFmtId="0" fontId="11" fillId="2" borderId="2" xfId="0" applyFont="1" applyFill="1" applyBorder="1" applyAlignment="1">
      <alignment horizontal="center" vertical="center"/>
    </xf>
    <xf numFmtId="0" fontId="11" fillId="2" borderId="3" xfId="0" applyFont="1" applyFill="1" applyBorder="1" applyAlignment="1">
      <alignment horizontal="center" vertical="center"/>
    </xf>
    <xf numFmtId="0" fontId="10" fillId="2" borderId="11" xfId="0" applyFont="1" applyFill="1" applyBorder="1" applyAlignment="1">
      <alignment vertical="center"/>
    </xf>
    <xf numFmtId="0" fontId="10" fillId="2" borderId="0" xfId="0" applyFont="1" applyFill="1" applyAlignment="1">
      <alignment vertical="center"/>
    </xf>
    <xf numFmtId="164" fontId="3" fillId="2" borderId="0" xfId="1" applyNumberFormat="1" applyFont="1" applyFill="1" applyBorder="1" applyAlignment="1">
      <alignment horizontal="center" vertical="center"/>
    </xf>
    <xf numFmtId="164" fontId="3" fillId="0" borderId="0" xfId="1" applyNumberFormat="1" applyFont="1" applyFill="1" applyBorder="1" applyAlignment="1">
      <alignment horizontal="center" vertical="center"/>
    </xf>
    <xf numFmtId="44" fontId="3" fillId="2" borderId="12" xfId="2" applyFont="1" applyFill="1" applyBorder="1" applyAlignment="1">
      <alignment vertical="center"/>
    </xf>
    <xf numFmtId="44" fontId="3" fillId="2" borderId="13" xfId="2" applyFont="1" applyFill="1" applyBorder="1" applyAlignment="1">
      <alignment vertical="center"/>
    </xf>
    <xf numFmtId="44" fontId="3" fillId="2" borderId="14" xfId="2" applyFont="1" applyFill="1" applyBorder="1" applyAlignment="1">
      <alignment vertical="center"/>
    </xf>
    <xf numFmtId="164" fontId="3" fillId="2" borderId="7" xfId="1" applyNumberFormat="1" applyFont="1" applyFill="1" applyBorder="1" applyAlignment="1">
      <alignment horizontal="center" vertical="center"/>
    </xf>
    <xf numFmtId="44" fontId="3" fillId="2" borderId="8" xfId="2" applyFont="1" applyFill="1" applyBorder="1" applyAlignment="1">
      <alignment vertical="center"/>
    </xf>
    <xf numFmtId="44" fontId="3" fillId="2" borderId="15" xfId="2" applyFont="1" applyFill="1" applyBorder="1" applyAlignment="1">
      <alignment vertical="center"/>
    </xf>
    <xf numFmtId="39" fontId="0" fillId="0" borderId="0" xfId="0" applyNumberFormat="1"/>
    <xf numFmtId="164" fontId="3" fillId="4" borderId="0" xfId="1" applyNumberFormat="1" applyFont="1" applyFill="1" applyBorder="1" applyAlignment="1">
      <alignment horizontal="center" vertical="center"/>
    </xf>
    <xf numFmtId="44" fontId="3" fillId="2" borderId="0" xfId="2" applyFont="1" applyFill="1" applyBorder="1" applyAlignment="1">
      <alignment vertical="center"/>
    </xf>
    <xf numFmtId="44" fontId="12" fillId="2" borderId="0" xfId="0" applyNumberFormat="1" applyFont="1" applyFill="1"/>
    <xf numFmtId="0" fontId="4" fillId="2" borderId="1" xfId="0" applyFont="1" applyFill="1" applyBorder="1" applyAlignment="1">
      <alignment vertical="center"/>
    </xf>
    <xf numFmtId="0" fontId="4" fillId="2" borderId="2" xfId="0" applyFont="1" applyFill="1" applyBorder="1" applyAlignment="1">
      <alignment vertical="center"/>
    </xf>
    <xf numFmtId="165" fontId="3" fillId="2" borderId="16" xfId="1" applyNumberFormat="1" applyFont="1" applyFill="1" applyBorder="1" applyAlignment="1">
      <alignment horizontal="center" vertical="center"/>
    </xf>
    <xf numFmtId="43" fontId="3" fillId="2" borderId="16" xfId="1" applyFont="1" applyFill="1" applyBorder="1" applyAlignment="1">
      <alignment horizontal="center" vertical="center"/>
    </xf>
    <xf numFmtId="44" fontId="3" fillId="2" borderId="16" xfId="2" applyFont="1" applyFill="1" applyBorder="1" applyAlignment="1">
      <alignment vertical="center"/>
    </xf>
    <xf numFmtId="0" fontId="10" fillId="2" borderId="17" xfId="0" applyFont="1" applyFill="1" applyBorder="1" applyAlignment="1">
      <alignment vertical="center"/>
    </xf>
    <xf numFmtId="0" fontId="10" fillId="2" borderId="18" xfId="0" applyFont="1" applyFill="1" applyBorder="1" applyAlignment="1">
      <alignment vertical="center"/>
    </xf>
    <xf numFmtId="0" fontId="11" fillId="2" borderId="19" xfId="0" applyFont="1" applyFill="1" applyBorder="1" applyAlignment="1">
      <alignment horizontal="center" vertical="center"/>
    </xf>
    <xf numFmtId="0" fontId="11" fillId="2" borderId="13" xfId="0" applyFont="1" applyFill="1" applyBorder="1" applyAlignment="1">
      <alignment horizontal="center" vertical="center"/>
    </xf>
    <xf numFmtId="0" fontId="10" fillId="2" borderId="20" xfId="0" applyFont="1" applyFill="1" applyBorder="1" applyAlignment="1">
      <alignment vertical="center"/>
    </xf>
    <xf numFmtId="0" fontId="10" fillId="2" borderId="21" xfId="0" applyFont="1" applyFill="1" applyBorder="1" applyAlignment="1">
      <alignment vertical="center"/>
    </xf>
    <xf numFmtId="165" fontId="3" fillId="2" borderId="19" xfId="1" applyNumberFormat="1" applyFont="1" applyFill="1" applyBorder="1" applyAlignment="1">
      <alignment horizontal="center" vertical="center"/>
    </xf>
    <xf numFmtId="165" fontId="3" fillId="2" borderId="22" xfId="1" applyNumberFormat="1" applyFont="1" applyFill="1" applyBorder="1" applyAlignment="1">
      <alignment horizontal="center" vertical="center"/>
    </xf>
    <xf numFmtId="44" fontId="3" fillId="2" borderId="22" xfId="2" applyFont="1" applyFill="1" applyBorder="1" applyAlignment="1">
      <alignment vertical="center"/>
    </xf>
    <xf numFmtId="44" fontId="3" fillId="2" borderId="23" xfId="2" applyFont="1" applyFill="1" applyBorder="1" applyAlignment="1">
      <alignment vertical="center"/>
    </xf>
    <xf numFmtId="164" fontId="3" fillId="2" borderId="12" xfId="1" applyNumberFormat="1" applyFont="1" applyFill="1" applyBorder="1" applyAlignment="1">
      <alignment horizontal="center" vertical="center"/>
    </xf>
    <xf numFmtId="0" fontId="11" fillId="2" borderId="22" xfId="0" applyFont="1" applyFill="1" applyBorder="1" applyAlignment="1">
      <alignment horizontal="center" vertical="center"/>
    </xf>
    <xf numFmtId="0" fontId="11" fillId="2" borderId="23" xfId="0" applyFont="1" applyFill="1" applyBorder="1" applyAlignment="1">
      <alignment horizontal="center" vertical="center"/>
    </xf>
    <xf numFmtId="165" fontId="3" fillId="2" borderId="9" xfId="1" applyNumberFormat="1" applyFont="1" applyFill="1" applyBorder="1" applyAlignment="1">
      <alignment horizontal="center" vertical="center"/>
    </xf>
    <xf numFmtId="44" fontId="3" fillId="2" borderId="9" xfId="2" applyFont="1" applyFill="1" applyBorder="1" applyAlignment="1">
      <alignment vertical="center"/>
    </xf>
    <xf numFmtId="44" fontId="3" fillId="2" borderId="10" xfId="2" applyFont="1" applyFill="1" applyBorder="1" applyAlignment="1">
      <alignment vertical="center"/>
    </xf>
    <xf numFmtId="44" fontId="12" fillId="2" borderId="0" xfId="2" applyFont="1" applyFill="1" applyBorder="1" applyAlignment="1">
      <alignment vertical="center"/>
    </xf>
    <xf numFmtId="43" fontId="3" fillId="2" borderId="0" xfId="1" applyFont="1" applyFill="1" applyBorder="1" applyAlignment="1">
      <alignment horizontal="center" vertical="center"/>
    </xf>
    <xf numFmtId="43" fontId="3" fillId="4" borderId="0" xfId="1" applyFont="1" applyFill="1" applyBorder="1" applyAlignment="1">
      <alignment horizontal="center" vertical="center"/>
    </xf>
    <xf numFmtId="43" fontId="3" fillId="4" borderId="16" xfId="1" applyFont="1" applyFill="1" applyBorder="1" applyAlignment="1">
      <alignment horizontal="center" vertical="center"/>
    </xf>
    <xf numFmtId="43" fontId="3" fillId="4" borderId="9" xfId="1" applyFont="1" applyFill="1" applyBorder="1" applyAlignment="1">
      <alignment horizontal="center" vertical="center"/>
    </xf>
    <xf numFmtId="0" fontId="2" fillId="0" borderId="0" xfId="0" applyFont="1"/>
    <xf numFmtId="43" fontId="3" fillId="2" borderId="2" xfId="1" applyFont="1" applyFill="1" applyBorder="1" applyAlignment="1">
      <alignment horizontal="center" vertical="center"/>
    </xf>
    <xf numFmtId="43" fontId="3" fillId="2" borderId="3" xfId="1" applyFont="1" applyFill="1" applyBorder="1" applyAlignment="1">
      <alignment horizontal="center" vertical="center"/>
    </xf>
    <xf numFmtId="0" fontId="10" fillId="2" borderId="24" xfId="0" applyFont="1" applyFill="1" applyBorder="1" applyAlignment="1">
      <alignment vertical="center"/>
    </xf>
    <xf numFmtId="0" fontId="10" fillId="2" borderId="25" xfId="0" applyFont="1" applyFill="1" applyBorder="1" applyAlignment="1">
      <alignment vertical="center"/>
    </xf>
    <xf numFmtId="164" fontId="3" fillId="2" borderId="25" xfId="1" applyNumberFormat="1" applyFont="1" applyFill="1" applyBorder="1" applyAlignment="1">
      <alignment horizontal="center" vertical="center"/>
    </xf>
    <xf numFmtId="164" fontId="3" fillId="2" borderId="26" xfId="1" applyNumberFormat="1" applyFont="1" applyFill="1" applyBorder="1" applyAlignment="1">
      <alignment horizontal="center" vertical="center"/>
    </xf>
    <xf numFmtId="0" fontId="4" fillId="2" borderId="27" xfId="0" applyFont="1" applyFill="1" applyBorder="1" applyAlignment="1">
      <alignment vertical="center"/>
    </xf>
    <xf numFmtId="0" fontId="10" fillId="2" borderId="28" xfId="0" applyFont="1" applyFill="1" applyBorder="1" applyAlignment="1">
      <alignment vertical="center"/>
    </xf>
    <xf numFmtId="0" fontId="10" fillId="2" borderId="29" xfId="0" applyFont="1" applyFill="1" applyBorder="1" applyAlignment="1">
      <alignment vertical="center"/>
    </xf>
    <xf numFmtId="164" fontId="3" fillId="2" borderId="29" xfId="1" applyNumberFormat="1" applyFont="1" applyFill="1" applyBorder="1" applyAlignment="1">
      <alignment horizontal="center" vertical="center"/>
    </xf>
    <xf numFmtId="164" fontId="3" fillId="2" borderId="30" xfId="1" applyNumberFormat="1" applyFont="1" applyFill="1" applyBorder="1" applyAlignment="1">
      <alignment horizontal="center" vertical="center"/>
    </xf>
    <xf numFmtId="165" fontId="3" fillId="2" borderId="31" xfId="1" applyNumberFormat="1" applyFont="1" applyFill="1" applyBorder="1" applyAlignment="1">
      <alignment horizontal="center" vertical="center"/>
    </xf>
    <xf numFmtId="44" fontId="3" fillId="2" borderId="31" xfId="2" applyFont="1" applyFill="1" applyBorder="1" applyAlignment="1">
      <alignment vertical="center"/>
    </xf>
    <xf numFmtId="44" fontId="3" fillId="2" borderId="32" xfId="2" applyFont="1" applyFill="1" applyBorder="1" applyAlignment="1">
      <alignment vertical="center"/>
    </xf>
    <xf numFmtId="0" fontId="4" fillId="2" borderId="33" xfId="0" applyFont="1" applyFill="1" applyBorder="1" applyAlignment="1">
      <alignment vertical="center"/>
    </xf>
    <xf numFmtId="0" fontId="4" fillId="2" borderId="34" xfId="0" applyFont="1" applyFill="1" applyBorder="1" applyAlignment="1">
      <alignment vertical="center"/>
    </xf>
    <xf numFmtId="43" fontId="3" fillId="2" borderId="34" xfId="1" applyFont="1" applyFill="1" applyBorder="1" applyAlignment="1">
      <alignment horizontal="center" vertical="center"/>
    </xf>
    <xf numFmtId="0" fontId="11" fillId="2" borderId="34" xfId="0" applyFont="1" applyFill="1" applyBorder="1" applyAlignment="1">
      <alignment horizontal="center" vertical="center"/>
    </xf>
    <xf numFmtId="0" fontId="11" fillId="2" borderId="35" xfId="0" applyFont="1" applyFill="1" applyBorder="1" applyAlignment="1">
      <alignment horizontal="center" vertical="center"/>
    </xf>
    <xf numFmtId="44" fontId="0" fillId="0" borderId="0" xfId="0" applyNumberFormat="1"/>
    <xf numFmtId="0" fontId="4" fillId="2" borderId="11" xfId="0" applyFont="1" applyFill="1" applyBorder="1" applyAlignment="1">
      <alignment vertical="center"/>
    </xf>
    <xf numFmtId="43" fontId="3" fillId="2" borderId="12" xfId="1" applyFont="1" applyFill="1" applyBorder="1" applyAlignment="1">
      <alignment horizontal="center" vertical="center"/>
    </xf>
    <xf numFmtId="164" fontId="3" fillId="2" borderId="21" xfId="1" applyNumberFormat="1" applyFont="1" applyFill="1" applyBorder="1" applyAlignment="1">
      <alignment horizontal="center" vertical="center"/>
    </xf>
    <xf numFmtId="164" fontId="3" fillId="2" borderId="36" xfId="1" applyNumberFormat="1" applyFont="1" applyFill="1" applyBorder="1" applyAlignment="1">
      <alignment horizontal="center" vertical="center"/>
    </xf>
    <xf numFmtId="164" fontId="3" fillId="2" borderId="19" xfId="1" applyNumberFormat="1" applyFont="1" applyFill="1" applyBorder="1" applyAlignment="1">
      <alignment horizontal="center" vertical="center"/>
    </xf>
    <xf numFmtId="44" fontId="3" fillId="2" borderId="19" xfId="2" applyFont="1" applyFill="1" applyBorder="1" applyAlignment="1">
      <alignment vertical="center"/>
    </xf>
    <xf numFmtId="0" fontId="13" fillId="2" borderId="0" xfId="0" applyFont="1" applyFill="1" applyAlignment="1">
      <alignment horizontal="right" vertical="center"/>
    </xf>
    <xf numFmtId="44" fontId="13" fillId="2" borderId="0" xfId="2" applyFont="1" applyFill="1" applyBorder="1" applyAlignment="1">
      <alignment vertical="center"/>
    </xf>
    <xf numFmtId="44" fontId="2" fillId="0" borderId="0" xfId="0" applyNumberFormat="1" applyFont="1"/>
    <xf numFmtId="9" fontId="2" fillId="0" borderId="0" xfId="0" applyNumberFormat="1" applyFont="1"/>
    <xf numFmtId="0" fontId="13" fillId="0" borderId="0" xfId="0" applyFont="1" applyAlignment="1">
      <alignment horizontal="left" vertical="center"/>
    </xf>
    <xf numFmtId="2" fontId="2" fillId="0" borderId="0" xfId="0" applyNumberFormat="1" applyFont="1"/>
    <xf numFmtId="44" fontId="13" fillId="0" borderId="0" xfId="2" applyFont="1" applyFill="1" applyBorder="1" applyAlignment="1">
      <alignment vertical="center"/>
    </xf>
    <xf numFmtId="0" fontId="14" fillId="0" borderId="0" xfId="0" applyFont="1"/>
    <xf numFmtId="0" fontId="15" fillId="0" borderId="0" xfId="0" applyFont="1" applyAlignment="1">
      <alignment vertical="center"/>
    </xf>
    <xf numFmtId="0" fontId="5" fillId="0" borderId="0" xfId="0" applyFont="1" applyAlignment="1">
      <alignment vertical="center"/>
    </xf>
    <xf numFmtId="0" fontId="4" fillId="3" borderId="19" xfId="0" applyFont="1" applyFill="1" applyBorder="1" applyAlignment="1">
      <alignment vertical="center"/>
    </xf>
    <xf numFmtId="166" fontId="2" fillId="0" borderId="0" xfId="0" applyNumberFormat="1" applyFont="1"/>
    <xf numFmtId="1" fontId="2" fillId="0" borderId="0" xfId="0" applyNumberFormat="1" applyFont="1"/>
    <xf numFmtId="0" fontId="2" fillId="0" borderId="21" xfId="0" applyFont="1" applyBorder="1"/>
    <xf numFmtId="39" fontId="0" fillId="6" borderId="0" xfId="0" applyNumberFormat="1" applyFill="1"/>
    <xf numFmtId="43" fontId="0" fillId="6" borderId="0" xfId="0" applyNumberFormat="1" applyFill="1"/>
    <xf numFmtId="0" fontId="0" fillId="0" borderId="11" xfId="0" applyBorder="1"/>
    <xf numFmtId="0" fontId="2" fillId="0" borderId="11" xfId="0" applyFont="1" applyBorder="1"/>
    <xf numFmtId="0" fontId="0" fillId="0" borderId="39" xfId="0" applyBorder="1"/>
    <xf numFmtId="0" fontId="2" fillId="0" borderId="6" xfId="0" applyFont="1" applyBorder="1"/>
    <xf numFmtId="0" fontId="0" fillId="7" borderId="11" xfId="0" applyFill="1" applyBorder="1"/>
    <xf numFmtId="0" fontId="0" fillId="8" borderId="6" xfId="0" applyFill="1" applyBorder="1"/>
    <xf numFmtId="0" fontId="2" fillId="0" borderId="0" xfId="0" applyFont="1" applyAlignment="1">
      <alignment horizontal="left"/>
    </xf>
    <xf numFmtId="43" fontId="0" fillId="6" borderId="13" xfId="1" applyFont="1" applyFill="1" applyBorder="1"/>
    <xf numFmtId="43" fontId="0" fillId="6" borderId="15" xfId="1" applyFont="1" applyFill="1" applyBorder="1"/>
    <xf numFmtId="43" fontId="0" fillId="6" borderId="43" xfId="1" applyFont="1" applyFill="1" applyBorder="1"/>
    <xf numFmtId="43" fontId="0" fillId="6" borderId="19" xfId="1" applyFont="1" applyFill="1" applyBorder="1"/>
    <xf numFmtId="43" fontId="2" fillId="6" borderId="15" xfId="1" applyFont="1" applyFill="1" applyBorder="1"/>
    <xf numFmtId="43" fontId="2" fillId="5" borderId="19" xfId="1" applyFont="1" applyFill="1" applyBorder="1"/>
    <xf numFmtId="43" fontId="2" fillId="6" borderId="19" xfId="1" applyFont="1" applyFill="1" applyBorder="1"/>
    <xf numFmtId="0" fontId="0" fillId="0" borderId="44" xfId="0" applyBorder="1" applyAlignment="1">
      <alignment horizontal="center"/>
    </xf>
    <xf numFmtId="0" fontId="0" fillId="0" borderId="40" xfId="0" applyBorder="1" applyAlignment="1">
      <alignment horizontal="center"/>
    </xf>
    <xf numFmtId="0" fontId="0" fillId="0" borderId="45" xfId="0" applyBorder="1"/>
    <xf numFmtId="0" fontId="0" fillId="0" borderId="46" xfId="0" applyBorder="1"/>
    <xf numFmtId="0" fontId="0" fillId="0" borderId="19" xfId="0" applyBorder="1" applyAlignment="1">
      <alignment horizontal="center"/>
    </xf>
    <xf numFmtId="0" fontId="2" fillId="0" borderId="47" xfId="0" applyFont="1" applyBorder="1"/>
    <xf numFmtId="165" fontId="4" fillId="3" borderId="19" xfId="1" applyNumberFormat="1" applyFont="1" applyFill="1" applyBorder="1" applyAlignment="1">
      <alignment vertical="center"/>
    </xf>
    <xf numFmtId="0" fontId="16" fillId="0" borderId="0" xfId="0" applyFont="1" applyAlignment="1">
      <alignment vertical="top" wrapText="1"/>
    </xf>
    <xf numFmtId="0" fontId="20" fillId="0" borderId="0" xfId="0" applyFont="1"/>
    <xf numFmtId="0" fontId="19" fillId="0" borderId="0" xfId="0" applyFont="1" applyAlignment="1">
      <alignment vertical="top"/>
    </xf>
    <xf numFmtId="165" fontId="4" fillId="6" borderId="19" xfId="1" applyNumberFormat="1" applyFont="1" applyFill="1" applyBorder="1" applyAlignment="1">
      <alignment vertical="center"/>
    </xf>
    <xf numFmtId="0" fontId="9" fillId="0" borderId="0" xfId="0" applyFont="1" applyAlignment="1">
      <alignment horizontal="left" vertical="center"/>
    </xf>
    <xf numFmtId="0" fontId="20" fillId="0" borderId="0" xfId="0" applyFont="1" applyAlignment="1">
      <alignment vertical="top" wrapText="1"/>
    </xf>
    <xf numFmtId="44" fontId="3" fillId="0" borderId="10" xfId="2" applyFont="1" applyFill="1" applyBorder="1" applyAlignment="1">
      <alignment horizontal="center" vertical="center"/>
    </xf>
    <xf numFmtId="43" fontId="11" fillId="0" borderId="9" xfId="1" applyFont="1" applyFill="1" applyBorder="1" applyAlignment="1">
      <alignment horizontal="center" vertical="center"/>
    </xf>
    <xf numFmtId="0" fontId="2" fillId="6" borderId="48" xfId="0" applyFont="1" applyFill="1" applyBorder="1" applyAlignment="1">
      <alignment horizontal="center"/>
    </xf>
    <xf numFmtId="44" fontId="11" fillId="0" borderId="9" xfId="2" applyFont="1" applyFill="1" applyBorder="1" applyAlignment="1">
      <alignment horizontal="center" vertical="center"/>
    </xf>
    <xf numFmtId="0" fontId="20" fillId="0" borderId="2" xfId="0" applyFont="1" applyBorder="1" applyAlignment="1">
      <alignment vertical="top" wrapText="1"/>
    </xf>
    <xf numFmtId="0" fontId="20" fillId="0" borderId="2" xfId="0" applyFont="1" applyBorder="1" applyAlignment="1">
      <alignment vertical="top"/>
    </xf>
    <xf numFmtId="0" fontId="2" fillId="0" borderId="0" xfId="0" applyFont="1" applyAlignment="1">
      <alignment horizontal="center"/>
    </xf>
    <xf numFmtId="0" fontId="23" fillId="0" borderId="0" xfId="0" applyFont="1"/>
    <xf numFmtId="0" fontId="22" fillId="0" borderId="0" xfId="0" applyFont="1"/>
    <xf numFmtId="165" fontId="2" fillId="6" borderId="19" xfId="1" applyNumberFormat="1" applyFont="1" applyFill="1" applyBorder="1"/>
    <xf numFmtId="0" fontId="24" fillId="0" borderId="0" xfId="5" quotePrefix="1"/>
    <xf numFmtId="165" fontId="3" fillId="0" borderId="22" xfId="1" applyNumberFormat="1" applyFont="1" applyFill="1" applyBorder="1" applyAlignment="1">
      <alignment horizontal="center" vertical="center"/>
    </xf>
    <xf numFmtId="165" fontId="4" fillId="3" borderId="50" xfId="1" applyNumberFormat="1" applyFont="1" applyFill="1" applyBorder="1" applyAlignment="1">
      <alignment vertical="center"/>
    </xf>
    <xf numFmtId="9" fontId="0" fillId="5" borderId="19" xfId="3" applyFont="1" applyFill="1" applyBorder="1"/>
    <xf numFmtId="44" fontId="0" fillId="5" borderId="19" xfId="3" applyNumberFormat="1" applyFont="1" applyFill="1" applyBorder="1"/>
    <xf numFmtId="0" fontId="2" fillId="0" borderId="38" xfId="0" applyFont="1" applyBorder="1"/>
    <xf numFmtId="0" fontId="0" fillId="0" borderId="13" xfId="0" applyBorder="1"/>
    <xf numFmtId="43" fontId="0" fillId="5" borderId="51" xfId="1" applyFont="1" applyFill="1" applyBorder="1"/>
    <xf numFmtId="0" fontId="0" fillId="0" borderId="15" xfId="0" applyBorder="1"/>
    <xf numFmtId="9" fontId="2" fillId="6" borderId="13" xfId="1" applyNumberFormat="1" applyFont="1" applyFill="1" applyBorder="1"/>
    <xf numFmtId="9" fontId="2" fillId="6" borderId="13" xfId="3" applyFont="1" applyFill="1" applyBorder="1"/>
    <xf numFmtId="0" fontId="11" fillId="0" borderId="4" xfId="0" applyFont="1" applyBorder="1" applyAlignment="1">
      <alignment horizontal="center" vertical="center"/>
    </xf>
    <xf numFmtId="0" fontId="11" fillId="0" borderId="5" xfId="0" applyFont="1" applyBorder="1" applyAlignment="1">
      <alignment horizontal="center" vertical="center"/>
    </xf>
    <xf numFmtId="164" fontId="3" fillId="0" borderId="16" xfId="1" applyNumberFormat="1" applyFont="1" applyFill="1" applyBorder="1" applyAlignment="1">
      <alignment horizontal="center" vertical="center"/>
    </xf>
    <xf numFmtId="44" fontId="3" fillId="0" borderId="16" xfId="2" applyFont="1" applyFill="1" applyBorder="1" applyAlignment="1">
      <alignment vertical="center"/>
    </xf>
    <xf numFmtId="44" fontId="3" fillId="0" borderId="14" xfId="2" applyFont="1" applyFill="1" applyBorder="1" applyAlignment="1">
      <alignment vertical="center"/>
    </xf>
    <xf numFmtId="0" fontId="11" fillId="0" borderId="19" xfId="0" applyFont="1" applyBorder="1" applyAlignment="1">
      <alignment horizontal="center" vertical="center"/>
    </xf>
    <xf numFmtId="0" fontId="11" fillId="0" borderId="13" xfId="0" applyFont="1" applyBorder="1" applyAlignment="1">
      <alignment horizontal="center" vertical="center"/>
    </xf>
    <xf numFmtId="164" fontId="3" fillId="0" borderId="9" xfId="1" applyNumberFormat="1" applyFont="1" applyFill="1" applyBorder="1" applyAlignment="1">
      <alignment horizontal="center" vertical="center"/>
    </xf>
    <xf numFmtId="44" fontId="3" fillId="0" borderId="9" xfId="2" applyFont="1" applyFill="1" applyBorder="1" applyAlignment="1">
      <alignment vertical="center"/>
    </xf>
    <xf numFmtId="44" fontId="3" fillId="0" borderId="10" xfId="2" applyFont="1" applyFill="1" applyBorder="1" applyAlignment="1">
      <alignment vertical="center"/>
    </xf>
    <xf numFmtId="0" fontId="10" fillId="0" borderId="0" xfId="0" applyFont="1" applyAlignment="1">
      <alignment vertical="center"/>
    </xf>
    <xf numFmtId="44" fontId="3" fillId="0" borderId="0" xfId="2" applyFont="1" applyFill="1" applyBorder="1" applyAlignment="1">
      <alignment vertical="center"/>
    </xf>
    <xf numFmtId="44" fontId="12" fillId="0" borderId="0" xfId="2" applyFont="1" applyFill="1" applyBorder="1" applyAlignment="1">
      <alignment vertical="center"/>
    </xf>
    <xf numFmtId="165" fontId="4" fillId="5" borderId="19" xfId="1" applyNumberFormat="1" applyFont="1" applyFill="1" applyBorder="1" applyAlignment="1">
      <alignment vertical="center"/>
    </xf>
    <xf numFmtId="0" fontId="26" fillId="0" borderId="0" xfId="0" applyFont="1" applyAlignment="1">
      <alignment horizontal="left" vertical="center"/>
    </xf>
    <xf numFmtId="0" fontId="23" fillId="0" borderId="0" xfId="0" applyFont="1" applyAlignment="1">
      <alignment horizontal="center"/>
    </xf>
    <xf numFmtId="0" fontId="2" fillId="0" borderId="52" xfId="0" applyFont="1" applyBorder="1"/>
    <xf numFmtId="165" fontId="0" fillId="0" borderId="39" xfId="0" applyNumberFormat="1" applyBorder="1"/>
    <xf numFmtId="43" fontId="0" fillId="0" borderId="39" xfId="0" applyNumberFormat="1" applyBorder="1"/>
    <xf numFmtId="165" fontId="2" fillId="0" borderId="53" xfId="0" applyNumberFormat="1" applyFont="1" applyBorder="1"/>
    <xf numFmtId="44" fontId="0" fillId="0" borderId="39" xfId="2" applyFont="1" applyBorder="1"/>
    <xf numFmtId="2" fontId="2" fillId="0" borderId="53" xfId="0" applyNumberFormat="1" applyFont="1" applyBorder="1"/>
    <xf numFmtId="43" fontId="0" fillId="0" borderId="39" xfId="0" applyNumberFormat="1" applyBorder="1" applyAlignment="1">
      <alignment horizontal="left" indent="1"/>
    </xf>
    <xf numFmtId="43" fontId="0" fillId="0" borderId="0" xfId="0" applyNumberFormat="1"/>
    <xf numFmtId="43" fontId="2" fillId="0" borderId="53" xfId="0" applyNumberFormat="1" applyFont="1" applyBorder="1"/>
    <xf numFmtId="165" fontId="3" fillId="2" borderId="0" xfId="1" applyNumberFormat="1" applyFont="1" applyFill="1" applyBorder="1" applyAlignment="1">
      <alignment horizontal="center" vertical="center"/>
    </xf>
    <xf numFmtId="0" fontId="16" fillId="0" borderId="0" xfId="0" applyFont="1"/>
    <xf numFmtId="43" fontId="16" fillId="0" borderId="0" xfId="0" applyNumberFormat="1" applyFont="1"/>
    <xf numFmtId="2" fontId="19" fillId="0" borderId="0" xfId="0" applyNumberFormat="1" applyFont="1"/>
    <xf numFmtId="0" fontId="19" fillId="0" borderId="0" xfId="0" applyFont="1"/>
    <xf numFmtId="0" fontId="22" fillId="0" borderId="0" xfId="0" applyFont="1" applyAlignment="1">
      <alignment horizontal="right"/>
    </xf>
    <xf numFmtId="43" fontId="0" fillId="5" borderId="39" xfId="0" applyNumberFormat="1" applyFill="1" applyBorder="1"/>
    <xf numFmtId="0" fontId="22" fillId="0" borderId="11" xfId="0" applyFont="1" applyBorder="1"/>
    <xf numFmtId="0" fontId="28" fillId="2" borderId="0" xfId="0" applyFont="1" applyFill="1" applyAlignment="1">
      <alignment horizontal="right"/>
    </xf>
    <xf numFmtId="0" fontId="29" fillId="0" borderId="1" xfId="0" applyFont="1" applyBorder="1"/>
    <xf numFmtId="0" fontId="29" fillId="0" borderId="2" xfId="0" applyFont="1" applyBorder="1"/>
    <xf numFmtId="0" fontId="29" fillId="0" borderId="49" xfId="0" applyFont="1" applyBorder="1"/>
    <xf numFmtId="0" fontId="29" fillId="0" borderId="0" xfId="0" applyFont="1"/>
    <xf numFmtId="0" fontId="29" fillId="0" borderId="11" xfId="0" applyFont="1" applyBorder="1"/>
    <xf numFmtId="0" fontId="30" fillId="0" borderId="0" xfId="0" applyFont="1"/>
    <xf numFmtId="0" fontId="29" fillId="0" borderId="39" xfId="0" applyFont="1" applyBorder="1"/>
    <xf numFmtId="0" fontId="4" fillId="0" borderId="11" xfId="0" applyFont="1" applyBorder="1" applyAlignment="1">
      <alignment horizontal="left" vertical="center"/>
    </xf>
    <xf numFmtId="0" fontId="29" fillId="0" borderId="37" xfId="0" applyFont="1" applyBorder="1"/>
    <xf numFmtId="0" fontId="30" fillId="0" borderId="41" xfId="0" applyFont="1" applyBorder="1"/>
    <xf numFmtId="0" fontId="30" fillId="0" borderId="38" xfId="0" applyFont="1" applyBorder="1"/>
    <xf numFmtId="44" fontId="29" fillId="0" borderId="0" xfId="0" applyNumberFormat="1" applyFont="1"/>
    <xf numFmtId="0" fontId="30" fillId="0" borderId="11" xfId="0" applyFont="1" applyBorder="1" applyAlignment="1">
      <alignment horizontal="left"/>
    </xf>
    <xf numFmtId="0" fontId="29" fillId="0" borderId="17" xfId="0" applyFont="1" applyBorder="1"/>
    <xf numFmtId="0" fontId="29" fillId="0" borderId="18" xfId="0" applyFont="1" applyBorder="1"/>
    <xf numFmtId="44" fontId="30" fillId="0" borderId="0" xfId="0" applyNumberFormat="1" applyFont="1"/>
    <xf numFmtId="0" fontId="30" fillId="0" borderId="6" xfId="0" applyFont="1" applyBorder="1" applyAlignment="1">
      <alignment horizontal="left"/>
    </xf>
    <xf numFmtId="0" fontId="29" fillId="0" borderId="7" xfId="0" applyFont="1" applyBorder="1"/>
    <xf numFmtId="0" fontId="29" fillId="0" borderId="40" xfId="0" applyFont="1" applyBorder="1"/>
    <xf numFmtId="9" fontId="29" fillId="0" borderId="0" xfId="3" applyFont="1" applyFill="1" applyBorder="1"/>
    <xf numFmtId="9" fontId="29" fillId="0" borderId="0" xfId="0" applyNumberFormat="1" applyFont="1"/>
    <xf numFmtId="0" fontId="29" fillId="0" borderId="0" xfId="0" quotePrefix="1" applyFont="1"/>
    <xf numFmtId="0" fontId="4" fillId="0" borderId="17" xfId="0" applyFont="1" applyBorder="1" applyAlignment="1">
      <alignment horizontal="left" vertical="center"/>
    </xf>
    <xf numFmtId="43" fontId="29" fillId="0" borderId="0" xfId="0" applyNumberFormat="1" applyFont="1"/>
    <xf numFmtId="0" fontId="29" fillId="0" borderId="6" xfId="0" applyFont="1" applyBorder="1"/>
    <xf numFmtId="0" fontId="30" fillId="0" borderId="21" xfId="0" applyFont="1" applyBorder="1" applyAlignment="1">
      <alignment horizontal="right"/>
    </xf>
    <xf numFmtId="0" fontId="29" fillId="0" borderId="21" xfId="0" applyFont="1" applyBorder="1"/>
    <xf numFmtId="0" fontId="30" fillId="0" borderId="0" xfId="0" applyFont="1" applyAlignment="1">
      <alignment horizontal="right"/>
    </xf>
    <xf numFmtId="0" fontId="31" fillId="0" borderId="0" xfId="0" applyFont="1" applyAlignment="1">
      <alignment horizontal="right"/>
    </xf>
    <xf numFmtId="0" fontId="31" fillId="0" borderId="0" xfId="0" applyFont="1"/>
    <xf numFmtId="2" fontId="29" fillId="0" borderId="0" xfId="0" applyNumberFormat="1" applyFont="1"/>
    <xf numFmtId="0" fontId="29" fillId="0" borderId="0" xfId="0" applyFont="1" applyAlignment="1">
      <alignment horizontal="right"/>
    </xf>
    <xf numFmtId="1" fontId="29" fillId="0" borderId="0" xfId="0" applyNumberFormat="1" applyFont="1"/>
    <xf numFmtId="2" fontId="29" fillId="9" borderId="0" xfId="0" applyNumberFormat="1" applyFont="1" applyFill="1"/>
    <xf numFmtId="0" fontId="30" fillId="2" borderId="0" xfId="0" applyFont="1" applyFill="1"/>
    <xf numFmtId="0" fontId="29" fillId="2" borderId="0" xfId="0" applyFont="1" applyFill="1"/>
    <xf numFmtId="0" fontId="30" fillId="2" borderId="20" xfId="0" applyFont="1" applyFill="1" applyBorder="1"/>
    <xf numFmtId="0" fontId="30" fillId="2" borderId="21" xfId="0" applyFont="1" applyFill="1" applyBorder="1"/>
    <xf numFmtId="0" fontId="30" fillId="2" borderId="42" xfId="0" applyFont="1" applyFill="1" applyBorder="1"/>
    <xf numFmtId="0" fontId="30" fillId="2" borderId="11" xfId="0" applyFont="1" applyFill="1" applyBorder="1"/>
    <xf numFmtId="0" fontId="29" fillId="2" borderId="39" xfId="0" applyFont="1" applyFill="1" applyBorder="1"/>
    <xf numFmtId="0" fontId="29" fillId="2" borderId="11" xfId="0" applyFont="1" applyFill="1" applyBorder="1"/>
    <xf numFmtId="0" fontId="30" fillId="2" borderId="6" xfId="0" applyFont="1" applyFill="1" applyBorder="1"/>
    <xf numFmtId="0" fontId="30" fillId="2" borderId="7" xfId="0" applyFont="1" applyFill="1" applyBorder="1"/>
    <xf numFmtId="0" fontId="29" fillId="2" borderId="7" xfId="0" applyFont="1" applyFill="1" applyBorder="1"/>
    <xf numFmtId="0" fontId="29" fillId="2" borderId="40" xfId="0" applyFont="1" applyFill="1" applyBorder="1"/>
    <xf numFmtId="0" fontId="30" fillId="2" borderId="0" xfId="0" applyFont="1" applyFill="1" applyAlignment="1">
      <alignment horizontal="center"/>
    </xf>
    <xf numFmtId="0" fontId="32" fillId="0" borderId="46" xfId="0" applyFont="1" applyBorder="1" applyAlignment="1">
      <alignment horizontal="right"/>
    </xf>
    <xf numFmtId="0" fontId="30" fillId="12" borderId="13" xfId="0" applyFont="1" applyFill="1" applyBorder="1"/>
    <xf numFmtId="0" fontId="30" fillId="12" borderId="56" xfId="0" applyFont="1" applyFill="1" applyBorder="1"/>
    <xf numFmtId="0" fontId="30" fillId="12" borderId="15" xfId="0" applyFont="1" applyFill="1" applyBorder="1"/>
    <xf numFmtId="0" fontId="32" fillId="0" borderId="56" xfId="0" applyFont="1" applyBorder="1" applyAlignment="1">
      <alignment horizontal="right"/>
    </xf>
    <xf numFmtId="0" fontId="30" fillId="0" borderId="46" xfId="0" applyFont="1" applyBorder="1"/>
    <xf numFmtId="0" fontId="32" fillId="0" borderId="45" xfId="0" applyFont="1" applyBorder="1" applyAlignment="1">
      <alignment horizontal="right"/>
    </xf>
    <xf numFmtId="0" fontId="30" fillId="12" borderId="23" xfId="0" applyFont="1" applyFill="1" applyBorder="1"/>
    <xf numFmtId="0" fontId="32" fillId="0" borderId="57" xfId="0" applyFont="1" applyBorder="1" applyAlignment="1">
      <alignment horizontal="right"/>
    </xf>
    <xf numFmtId="0" fontId="30" fillId="12" borderId="43" xfId="0" applyFont="1" applyFill="1" applyBorder="1"/>
    <xf numFmtId="0" fontId="30" fillId="0" borderId="45" xfId="0" applyFont="1" applyBorder="1"/>
    <xf numFmtId="0" fontId="30" fillId="0" borderId="23" xfId="0" applyFont="1" applyBorder="1"/>
    <xf numFmtId="0" fontId="30" fillId="0" borderId="57" xfId="0" applyFont="1" applyBorder="1"/>
    <xf numFmtId="0" fontId="30" fillId="0" borderId="57" xfId="0" applyFont="1" applyBorder="1" applyAlignment="1">
      <alignment horizontal="right"/>
    </xf>
    <xf numFmtId="0" fontId="30" fillId="0" borderId="46" xfId="0" applyFont="1" applyBorder="1" applyAlignment="1">
      <alignment horizontal="right"/>
    </xf>
    <xf numFmtId="0" fontId="30" fillId="0" borderId="56" xfId="0" applyFont="1" applyBorder="1" applyAlignment="1">
      <alignment horizontal="right"/>
    </xf>
    <xf numFmtId="0" fontId="30" fillId="0" borderId="45" xfId="0" applyFont="1" applyBorder="1" applyAlignment="1">
      <alignment horizontal="right"/>
    </xf>
    <xf numFmtId="0" fontId="30" fillId="13" borderId="43" xfId="0" applyFont="1" applyFill="1" applyBorder="1"/>
    <xf numFmtId="0" fontId="30" fillId="13" borderId="13" xfId="0" applyFont="1" applyFill="1" applyBorder="1"/>
    <xf numFmtId="0" fontId="32" fillId="11" borderId="33" xfId="0" applyFont="1" applyFill="1" applyBorder="1" applyAlignment="1">
      <alignment horizontal="center"/>
    </xf>
    <xf numFmtId="0" fontId="32" fillId="11" borderId="35" xfId="0" applyFont="1" applyFill="1" applyBorder="1" applyAlignment="1">
      <alignment horizontal="center"/>
    </xf>
    <xf numFmtId="0" fontId="2" fillId="10" borderId="58" xfId="0" applyFont="1" applyFill="1" applyBorder="1"/>
    <xf numFmtId="0" fontId="9" fillId="0" borderId="46" xfId="0" applyFont="1" applyBorder="1" applyAlignment="1">
      <alignment horizontal="right" vertical="center"/>
    </xf>
    <xf numFmtId="0" fontId="26" fillId="0" borderId="46" xfId="0" applyFont="1" applyBorder="1" applyAlignment="1">
      <alignment horizontal="right" vertical="center"/>
    </xf>
    <xf numFmtId="0" fontId="26" fillId="0" borderId="56" xfId="0" applyFont="1" applyBorder="1" applyAlignment="1">
      <alignment horizontal="right" vertical="center"/>
    </xf>
    <xf numFmtId="0" fontId="30" fillId="12" borderId="10" xfId="0" applyFont="1" applyFill="1" applyBorder="1"/>
    <xf numFmtId="0" fontId="9" fillId="0" borderId="45" xfId="0" applyFont="1" applyBorder="1" applyAlignment="1">
      <alignment horizontal="right" vertical="center"/>
    </xf>
    <xf numFmtId="0" fontId="2" fillId="10" borderId="0" xfId="0" applyFont="1" applyFill="1"/>
    <xf numFmtId="0" fontId="0" fillId="0" borderId="59" xfId="0" applyBorder="1" applyAlignment="1">
      <alignment horizontal="center"/>
    </xf>
    <xf numFmtId="0" fontId="0" fillId="14" borderId="19" xfId="0" applyFill="1" applyBorder="1"/>
    <xf numFmtId="0" fontId="6" fillId="2" borderId="0" xfId="0" applyFont="1" applyFill="1" applyAlignment="1">
      <alignment horizontal="center" vertical="center" wrapText="1"/>
    </xf>
    <xf numFmtId="0" fontId="7" fillId="0" borderId="0" xfId="0" applyFont="1" applyAlignment="1">
      <alignment horizontal="center" vertical="center"/>
    </xf>
    <xf numFmtId="0" fontId="2" fillId="0" borderId="37" xfId="0" applyFont="1" applyBorder="1" applyAlignment="1">
      <alignment horizontal="center"/>
    </xf>
    <xf numFmtId="0" fontId="2" fillId="0" borderId="41" xfId="0" applyFont="1" applyBorder="1" applyAlignment="1">
      <alignment horizontal="center"/>
    </xf>
    <xf numFmtId="0" fontId="2" fillId="0" borderId="38" xfId="0" applyFont="1" applyBorder="1" applyAlignment="1">
      <alignment horizontal="center"/>
    </xf>
    <xf numFmtId="0" fontId="4" fillId="2" borderId="7" xfId="0" applyFont="1" applyFill="1" applyBorder="1" applyAlignment="1">
      <alignment horizontal="left" vertical="center" wrapText="1"/>
    </xf>
    <xf numFmtId="0" fontId="14" fillId="0" borderId="33" xfId="0" applyFont="1" applyBorder="1" applyAlignment="1">
      <alignment horizontal="center"/>
    </xf>
    <xf numFmtId="0" fontId="14" fillId="0" borderId="34" xfId="0" applyFont="1" applyBorder="1" applyAlignment="1">
      <alignment horizontal="center"/>
    </xf>
    <xf numFmtId="0" fontId="30" fillId="2" borderId="37" xfId="0" applyFont="1" applyFill="1" applyBorder="1" applyAlignment="1">
      <alignment horizontal="center"/>
    </xf>
    <xf numFmtId="0" fontId="30" fillId="2" borderId="38" xfId="0" applyFont="1" applyFill="1" applyBorder="1" applyAlignment="1">
      <alignment horizontal="center"/>
    </xf>
    <xf numFmtId="0" fontId="30" fillId="2" borderId="41" xfId="0" applyFont="1" applyFill="1" applyBorder="1" applyAlignment="1">
      <alignment horizontal="center"/>
    </xf>
    <xf numFmtId="165" fontId="4" fillId="3" borderId="54" xfId="1" applyNumberFormat="1" applyFont="1" applyFill="1" applyBorder="1" applyAlignment="1">
      <alignment horizontal="center" vertical="center"/>
    </xf>
    <xf numFmtId="165" fontId="4" fillId="3" borderId="55" xfId="1" applyNumberFormat="1" applyFont="1" applyFill="1" applyBorder="1" applyAlignment="1">
      <alignment horizontal="center" vertical="center"/>
    </xf>
    <xf numFmtId="0" fontId="23" fillId="0" borderId="21" xfId="0" applyFont="1" applyBorder="1" applyAlignment="1">
      <alignment horizontal="center"/>
    </xf>
    <xf numFmtId="0" fontId="32" fillId="11" borderId="1" xfId="0" applyFont="1" applyFill="1" applyBorder="1" applyAlignment="1">
      <alignment horizontal="center"/>
    </xf>
    <xf numFmtId="0" fontId="32" fillId="11" borderId="35" xfId="0" applyFont="1" applyFill="1" applyBorder="1" applyAlignment="1">
      <alignment horizontal="center"/>
    </xf>
    <xf numFmtId="0" fontId="33" fillId="0" borderId="1" xfId="0" applyFont="1" applyBorder="1" applyAlignment="1">
      <alignment horizontal="center" vertical="center"/>
    </xf>
    <xf numFmtId="0" fontId="33" fillId="0" borderId="49" xfId="0" applyFont="1" applyBorder="1" applyAlignment="1">
      <alignment horizontal="center" vertical="center"/>
    </xf>
    <xf numFmtId="0" fontId="33" fillId="0" borderId="6" xfId="0" applyFont="1" applyBorder="1" applyAlignment="1">
      <alignment horizontal="center" vertical="center"/>
    </xf>
    <xf numFmtId="0" fontId="33" fillId="0" borderId="40" xfId="0" applyFont="1" applyBorder="1" applyAlignment="1">
      <alignment horizontal="center" vertical="center"/>
    </xf>
    <xf numFmtId="0" fontId="32" fillId="11" borderId="33" xfId="0" applyFont="1" applyFill="1" applyBorder="1" applyAlignment="1">
      <alignment horizontal="center"/>
    </xf>
    <xf numFmtId="0" fontId="32" fillId="11" borderId="58" xfId="0" applyFont="1" applyFill="1" applyBorder="1" applyAlignment="1">
      <alignment horizontal="center"/>
    </xf>
    <xf numFmtId="0" fontId="30" fillId="0" borderId="59" xfId="0" applyFont="1" applyBorder="1"/>
    <xf numFmtId="0" fontId="2" fillId="10" borderId="0" xfId="0" applyFont="1" applyFill="1" applyAlignment="1">
      <alignment horizontal="center"/>
    </xf>
    <xf numFmtId="0" fontId="0" fillId="0" borderId="0" xfId="0" applyAlignment="1">
      <alignment horizontal="center"/>
    </xf>
    <xf numFmtId="0" fontId="2" fillId="0" borderId="19" xfId="0" applyFont="1" applyFill="1" applyBorder="1"/>
    <xf numFmtId="0" fontId="0" fillId="0" borderId="0" xfId="0" applyFill="1"/>
  </cellXfs>
  <cellStyles count="6">
    <cellStyle name="Comma" xfId="1" builtinId="3"/>
    <cellStyle name="Currency" xfId="2" builtinId="4"/>
    <cellStyle name="Hyperlink" xfId="5" builtinId="8"/>
    <cellStyle name="Normal" xfId="0" builtinId="0"/>
    <cellStyle name="Normal 2 2" xfId="4" xr:uid="{0EFADB94-2DD5-43BB-B77F-6EF149215890}"/>
    <cellStyle name="Percent" xfId="3" builtinId="5"/>
  </cellStyles>
  <dxfs count="10">
    <dxf>
      <font>
        <strike val="0"/>
        <outline val="0"/>
        <shadow val="0"/>
        <u val="none"/>
        <vertAlign val="baseline"/>
        <sz val="11"/>
        <color auto="1"/>
        <name val="Calibri"/>
        <family val="2"/>
        <scheme val="minor"/>
      </font>
      <fill>
        <patternFill patternType="solid">
          <fgColor indexed="64"/>
          <bgColor theme="0"/>
        </patternFill>
      </fill>
    </dxf>
    <dxf>
      <font>
        <strike val="0"/>
        <outline val="0"/>
        <shadow val="0"/>
        <u val="none"/>
        <vertAlign val="baseline"/>
        <sz val="11"/>
        <color auto="1"/>
        <name val="Calibri"/>
        <family val="2"/>
        <scheme val="minor"/>
      </font>
      <fill>
        <patternFill patternType="solid">
          <fgColor indexed="64"/>
          <bgColor theme="0"/>
        </patternFill>
      </fill>
    </dxf>
    <dxf>
      <font>
        <b/>
        <i val="0"/>
        <strike val="0"/>
        <condense val="0"/>
        <extend val="0"/>
        <outline val="0"/>
        <shadow val="0"/>
        <u val="none"/>
        <vertAlign val="baseline"/>
        <sz val="11"/>
        <color auto="1"/>
        <name val="Calibri"/>
        <family val="2"/>
        <scheme val="minor"/>
      </font>
      <fill>
        <patternFill patternType="solid">
          <fgColor indexed="64"/>
          <bgColor theme="0"/>
        </patternFill>
      </fill>
    </dxf>
    <dxf>
      <font>
        <strike val="0"/>
        <outline val="0"/>
        <shadow val="0"/>
        <u val="none"/>
        <vertAlign val="baseline"/>
        <sz val="11"/>
        <color auto="1"/>
        <name val="Calibri"/>
        <family val="2"/>
        <scheme val="minor"/>
      </font>
      <fill>
        <patternFill patternType="solid">
          <fgColor indexed="64"/>
          <bgColor theme="0"/>
        </patternFill>
      </fill>
    </dxf>
    <dxf>
      <font>
        <strike val="0"/>
        <outline val="0"/>
        <shadow val="0"/>
        <u val="none"/>
        <vertAlign val="baseline"/>
        <sz val="11"/>
        <color auto="1"/>
        <name val="Calibri"/>
        <family val="2"/>
        <scheme val="minor"/>
      </font>
      <fill>
        <patternFill patternType="solid">
          <fgColor indexed="64"/>
          <bgColor theme="0"/>
        </patternFill>
      </fill>
    </dxf>
    <dxf>
      <font>
        <b/>
        <i val="0"/>
        <strike val="0"/>
        <condense val="0"/>
        <extend val="0"/>
        <outline val="0"/>
        <shadow val="0"/>
        <u val="none"/>
        <vertAlign val="baseline"/>
        <sz val="11"/>
        <color auto="1"/>
        <name val="Calibri"/>
        <family val="2"/>
        <scheme val="minor"/>
      </font>
      <fill>
        <patternFill patternType="solid">
          <fgColor indexed="64"/>
          <bgColor theme="0"/>
        </patternFill>
      </fill>
    </dxf>
    <dxf>
      <font>
        <strike val="0"/>
        <outline val="0"/>
        <shadow val="0"/>
        <u val="none"/>
        <vertAlign val="baseline"/>
        <sz val="11"/>
        <color auto="1"/>
        <name val="Calibri"/>
        <family val="2"/>
        <scheme val="minor"/>
      </font>
      <fill>
        <patternFill patternType="solid">
          <fgColor indexed="64"/>
          <bgColor theme="0"/>
        </patternFill>
      </fill>
    </dxf>
    <dxf>
      <font>
        <strike val="0"/>
        <outline val="0"/>
        <shadow val="0"/>
        <u val="none"/>
        <vertAlign val="baseline"/>
        <sz val="11"/>
        <color auto="1"/>
        <name val="Calibri"/>
        <family val="2"/>
        <scheme val="minor"/>
      </font>
      <fill>
        <patternFill patternType="solid">
          <fgColor indexed="64"/>
          <bgColor theme="0"/>
        </patternFill>
      </fill>
    </dxf>
    <dxf>
      <font>
        <b/>
        <i val="0"/>
        <strike val="0"/>
        <condense val="0"/>
        <extend val="0"/>
        <outline val="0"/>
        <shadow val="0"/>
        <u val="none"/>
        <vertAlign val="baseline"/>
        <sz val="11"/>
        <color auto="1"/>
        <name val="Calibri"/>
        <family val="2"/>
        <scheme val="minor"/>
      </font>
      <fill>
        <patternFill patternType="solid">
          <fgColor indexed="64"/>
          <bgColor theme="0"/>
        </patternFill>
      </fill>
    </dxf>
    <dxf>
      <border>
        <left style="medium">
          <color auto="1"/>
        </left>
        <right style="medium">
          <color auto="1"/>
        </right>
        <top style="medium">
          <color auto="1"/>
        </top>
        <bottom style="medium">
          <color auto="1"/>
        </bottom>
        <vertical style="medium">
          <color auto="1"/>
        </vertical>
        <horizontal style="medium">
          <color auto="1"/>
        </horizontal>
      </border>
    </dxf>
  </dxfs>
  <tableStyles count="1" defaultTableStyle="TableStyleMedium2" defaultPivotStyle="PivotStyleLight16">
    <tableStyle name="Table Style 1" pivot="0" count="1" xr9:uid="{B04D0891-CF0A-43C4-A3BA-385D722F691D}">
      <tableStyleElement type="wholeTable"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158750</xdr:colOff>
      <xdr:row>0</xdr:row>
      <xdr:rowOff>0</xdr:rowOff>
    </xdr:from>
    <xdr:to>
      <xdr:col>3</xdr:col>
      <xdr:colOff>1331911</xdr:colOff>
      <xdr:row>2</xdr:row>
      <xdr:rowOff>134181</xdr:rowOff>
    </xdr:to>
    <xdr:pic>
      <xdr:nvPicPr>
        <xdr:cNvPr id="2" name="Picture 1">
          <a:extLst>
            <a:ext uri="{FF2B5EF4-FFF2-40B4-BE49-F238E27FC236}">
              <a16:creationId xmlns:a16="http://schemas.microsoft.com/office/drawing/2014/main" id="{60DCE1D8-D1CA-43DE-A284-DF89181D662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93721" y="0"/>
          <a:ext cx="1173161" cy="1579740"/>
        </a:xfrm>
        <a:prstGeom prst="rect">
          <a:avLst/>
        </a:prstGeom>
      </xdr:spPr>
    </xdr:pic>
    <xdr:clientData/>
  </xdr:twoCellAnchor>
  <xdr:twoCellAnchor>
    <xdr:from>
      <xdr:col>9</xdr:col>
      <xdr:colOff>532979</xdr:colOff>
      <xdr:row>0</xdr:row>
      <xdr:rowOff>23812</xdr:rowOff>
    </xdr:from>
    <xdr:to>
      <xdr:col>10</xdr:col>
      <xdr:colOff>1297780</xdr:colOff>
      <xdr:row>0</xdr:row>
      <xdr:rowOff>416717</xdr:rowOff>
    </xdr:to>
    <xdr:sp macro="[0]!RESET" textlink="">
      <xdr:nvSpPr>
        <xdr:cNvPr id="6" name="Rectangle 5">
          <a:extLst>
            <a:ext uri="{FF2B5EF4-FFF2-40B4-BE49-F238E27FC236}">
              <a16:creationId xmlns:a16="http://schemas.microsoft.com/office/drawing/2014/main" id="{87DE8A10-93E6-498E-99C6-FE63F41EC7AB}"/>
            </a:ext>
          </a:extLst>
        </xdr:cNvPr>
        <xdr:cNvSpPr/>
      </xdr:nvSpPr>
      <xdr:spPr>
        <a:xfrm>
          <a:off x="10534229" y="23812"/>
          <a:ext cx="3026989" cy="392905"/>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RESET</a:t>
          </a:r>
        </a:p>
      </xdr:txBody>
    </xdr:sp>
    <xdr:clientData/>
  </xdr:twoCellAnchor>
</xdr:wsDr>
</file>

<file path=xl/persons/person.xml><?xml version="1.0" encoding="utf-8"?>
<personList xmlns="http://schemas.microsoft.com/office/spreadsheetml/2018/threadedcomments" xmlns:x="http://schemas.openxmlformats.org/spreadsheetml/2006/main">
  <person displayName="Greg Munos" id="{CB6C4B52-0ACD-4496-B5D4-25A084267799}" userId="S::gmunos@bscforensics.com::dee062e8-92c0-45eb-9c86-c9cc36a22cd5"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B32FB99-E941-4836-BE85-FBE7872FEEB0}" name="Table1" displayName="Table1" ref="B2:B4" totalsRowShown="0" headerRowDxfId="8" dataDxfId="7">
  <autoFilter ref="B2:B4" xr:uid="{DB32FB99-E941-4836-BE85-FBE7872FEEB0}"/>
  <tableColumns count="1">
    <tableColumn id="1" xr3:uid="{FDCFFA81-2630-46CA-A5B4-140A34CF3F94}" name="Types of Assignment" dataDxfId="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E75731A-FA0F-4B81-ADCA-70F610469706}" name="Table2" displayName="Table2" ref="B6:B10" totalsRowShown="0" headerRowDxfId="5" dataDxfId="4">
  <autoFilter ref="B6:B10" xr:uid="{AE75731A-FA0F-4B81-ADCA-70F610469706}"/>
  <tableColumns count="1">
    <tableColumn id="1" xr3:uid="{C5109223-2CD0-4517-B357-FFF57DB42ADB}" name="Discipline"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93A465C-7C13-406C-90F3-8AD4855E355E}" name="Table14" displayName="Table14" ref="D2:D4" totalsRowShown="0" headerRowDxfId="2" dataDxfId="1">
  <autoFilter ref="D2:D4" xr:uid="{193A465C-7C13-406C-90F3-8AD4855E355E}"/>
  <tableColumns count="1">
    <tableColumn id="1" xr3:uid="{CF447087-F7BA-4925-BF96-6371FFAF1FBF}" name="Client (Special Rates Only)"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1" dT="2025-05-29T20:38:13.86" personId="{CB6C4B52-0ACD-4496-B5D4-25A084267799}" id="{2DB702B4-C892-40BA-A6CE-BD53F336CB90}">
    <text>It asks if we want to reset the value but even when you choose no it clears the areas and perimeters.</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CA11E1-6AC7-4EAC-A327-4E1129ECE4B1}">
  <sheetPr codeName="Sheet8">
    <pageSetUpPr fitToPage="1"/>
  </sheetPr>
  <dimension ref="A1:R586"/>
  <sheetViews>
    <sheetView zoomScale="85" zoomScaleNormal="85" workbookViewId="0">
      <selection activeCell="M29" sqref="M29"/>
    </sheetView>
  </sheetViews>
  <sheetFormatPr defaultRowHeight="14.4" x14ac:dyDescent="0.3"/>
  <cols>
    <col min="1" max="7" width="20.6640625" style="2" customWidth="1"/>
    <col min="8" max="8" width="5" customWidth="1"/>
    <col min="9" max="9" width="13.33203125" hidden="1" customWidth="1"/>
    <col min="10" max="10" width="35.33203125" customWidth="1"/>
    <col min="11" max="11" width="27.6640625" customWidth="1"/>
    <col min="12" max="12" width="15.44140625" customWidth="1"/>
    <col min="13" max="13" width="35.33203125" bestFit="1" customWidth="1"/>
    <col min="14" max="14" width="20.33203125" customWidth="1"/>
    <col min="15" max="15" width="16.5546875" bestFit="1" customWidth="1"/>
    <col min="16" max="16" width="11.33203125" bestFit="1" customWidth="1"/>
    <col min="17" max="17" width="16" customWidth="1"/>
    <col min="18" max="18" width="2.33203125" customWidth="1"/>
    <col min="19" max="19" width="14.33203125" bestFit="1" customWidth="1"/>
    <col min="20" max="20" width="12.33203125" bestFit="1" customWidth="1"/>
    <col min="21" max="21" width="2.33203125" customWidth="1"/>
    <col min="22" max="22" width="16.5546875" bestFit="1" customWidth="1"/>
    <col min="23" max="23" width="19.5546875" bestFit="1" customWidth="1"/>
    <col min="24" max="24" width="10.6640625" bestFit="1" customWidth="1"/>
  </cols>
  <sheetData>
    <row r="1" spans="1:14" ht="92.25" customHeight="1" x14ac:dyDescent="0.3">
      <c r="A1" s="1"/>
      <c r="C1" s="3"/>
      <c r="D1" s="3"/>
      <c r="E1" s="3"/>
      <c r="F1" s="3"/>
      <c r="G1" s="3"/>
      <c r="H1" s="4"/>
      <c r="I1" s="4"/>
      <c r="J1" s="4"/>
      <c r="K1" s="4"/>
      <c r="L1" s="132" t="s">
        <v>92</v>
      </c>
      <c r="M1" s="4"/>
    </row>
    <row r="2" spans="1:14" ht="21" customHeight="1" x14ac:dyDescent="0.3">
      <c r="A2" s="3"/>
      <c r="B2" s="3"/>
      <c r="C2" s="3"/>
      <c r="D2" s="3"/>
      <c r="E2" s="3"/>
      <c r="F2" s="3"/>
      <c r="G2" s="3"/>
      <c r="H2" s="4"/>
      <c r="I2" s="4"/>
      <c r="J2" s="103" t="s">
        <v>269</v>
      </c>
      <c r="K2" s="134" t="s">
        <v>270</v>
      </c>
      <c r="L2" s="131"/>
    </row>
    <row r="3" spans="1:14" ht="33" customHeight="1" x14ac:dyDescent="0.3">
      <c r="A3" s="268" t="s">
        <v>0</v>
      </c>
      <c r="B3" s="269"/>
      <c r="C3" s="269"/>
      <c r="D3" s="269"/>
      <c r="E3" s="269"/>
      <c r="F3" s="269"/>
      <c r="G3" s="269"/>
      <c r="H3" s="4"/>
      <c r="I3" s="102"/>
      <c r="J3" s="103" t="s">
        <v>135</v>
      </c>
      <c r="K3" s="134" t="s">
        <v>133</v>
      </c>
      <c r="M3" s="4"/>
    </row>
    <row r="4" spans="1:14" ht="15" customHeight="1" x14ac:dyDescent="0.3">
      <c r="A4" s="5" t="s">
        <v>1</v>
      </c>
      <c r="B4" s="3"/>
      <c r="C4" s="3"/>
      <c r="D4" s="3"/>
      <c r="E4" s="3"/>
      <c r="F4" s="3"/>
      <c r="G4" s="3"/>
      <c r="H4" s="4"/>
      <c r="J4" s="103" t="s">
        <v>78</v>
      </c>
      <c r="K4" s="134" t="s">
        <v>134</v>
      </c>
    </row>
    <row r="5" spans="1:14" ht="15" customHeight="1" x14ac:dyDescent="0.3">
      <c r="A5" s="5" t="s">
        <v>1</v>
      </c>
      <c r="B5" s="3"/>
      <c r="C5" s="3"/>
      <c r="D5" s="3"/>
      <c r="E5" s="3"/>
      <c r="F5" s="3"/>
      <c r="G5" s="3"/>
      <c r="H5" s="4"/>
      <c r="I5" s="4"/>
      <c r="J5" s="103" t="s">
        <v>72</v>
      </c>
      <c r="K5" s="134" t="s">
        <v>70</v>
      </c>
    </row>
    <row r="6" spans="1:14" ht="15" customHeight="1" thickBot="1" x14ac:dyDescent="0.35">
      <c r="A6" s="5" t="s">
        <v>1</v>
      </c>
      <c r="B6" s="3"/>
      <c r="C6" s="3"/>
      <c r="D6" s="3"/>
      <c r="E6" s="3"/>
      <c r="F6" s="3"/>
      <c r="G6" s="3"/>
      <c r="H6" s="4"/>
      <c r="I6" s="4"/>
      <c r="J6" s="148">
        <v>1</v>
      </c>
      <c r="K6" s="134" t="s">
        <v>462</v>
      </c>
    </row>
    <row r="7" spans="1:14" ht="15" customHeight="1" x14ac:dyDescent="0.3">
      <c r="A7" s="3"/>
      <c r="B7" s="3"/>
      <c r="C7" s="3"/>
      <c r="D7" s="3"/>
      <c r="E7" s="7"/>
      <c r="F7" s="3"/>
      <c r="H7" s="4"/>
      <c r="I7" s="4"/>
      <c r="J7" s="270" t="s">
        <v>158</v>
      </c>
      <c r="K7" s="271"/>
      <c r="L7" s="151" t="s">
        <v>265</v>
      </c>
    </row>
    <row r="8" spans="1:14" ht="15" customHeight="1" x14ac:dyDescent="0.3">
      <c r="A8" s="3" t="s">
        <v>2</v>
      </c>
      <c r="B8" s="8" t="s">
        <v>1</v>
      </c>
      <c r="C8" s="3"/>
      <c r="D8" s="3"/>
      <c r="E8" s="7"/>
      <c r="F8" s="7" t="s">
        <v>3</v>
      </c>
      <c r="G8" s="9" t="s">
        <v>205</v>
      </c>
      <c r="H8" s="4"/>
      <c r="J8" s="109" t="s">
        <v>95</v>
      </c>
      <c r="K8" s="149">
        <f>+DATA!$J$10</f>
        <v>-0.22586206896551719</v>
      </c>
      <c r="L8" s="155">
        <v>0.15</v>
      </c>
    </row>
    <row r="9" spans="1:14" ht="15" customHeight="1" x14ac:dyDescent="0.3">
      <c r="A9" s="3" t="s">
        <v>8</v>
      </c>
      <c r="B9" s="8" t="s">
        <v>1</v>
      </c>
      <c r="C9" s="3"/>
      <c r="D9" s="3"/>
      <c r="E9" s="7"/>
      <c r="F9" s="7" t="s">
        <v>9</v>
      </c>
      <c r="G9" s="13" t="s">
        <v>10</v>
      </c>
      <c r="H9" s="4"/>
      <c r="J9" s="109" t="s">
        <v>96</v>
      </c>
      <c r="K9" s="150">
        <f>($G$553-SUM(IFERROR($G$22,0),IFERROR($G$24,0),IFERROR($G$551,0)))*$K$8</f>
        <v>-65.499999999999986</v>
      </c>
      <c r="L9" s="152"/>
    </row>
    <row r="10" spans="1:14" ht="15" customHeight="1" x14ac:dyDescent="0.3">
      <c r="A10" s="17" t="s">
        <v>11</v>
      </c>
      <c r="B10" s="18" t="s">
        <v>1</v>
      </c>
      <c r="D10" s="3"/>
      <c r="E10" s="3"/>
      <c r="F10" s="19"/>
      <c r="G10" s="19"/>
      <c r="H10" s="4"/>
      <c r="I10" s="4"/>
      <c r="J10" s="113" t="s">
        <v>41</v>
      </c>
      <c r="K10" s="149" cm="1">
        <f t="array" ref="K10">SUM(IFERROR($G$20,0),IFERROR($G$30,0),IFERROR($G$32,0),IFERROR($G$28,0),IFERROR(G38,0),IFERROR(G43,0),IFERROR(G48,0),IFERROR(G53,0),IFERROR(G58,0),IFERROR(G63,0),IFERROR(G68,0),IFERROR(G73,0),IFERROR(G78,0),IFERROR(G83,0),IFERROR(G88,0),IFERROR(G93,0),IFERROR(G98,0),IFERROR(G103,0),IFERROR(G108,0),IFERROR(G113,0),IFERROR(G118,0),IFERROR(G123,0),IFERROR(G128,0),IFERROR(G133,0),IFERROR(G138,0),IFERROR(G143,0),IFERROR(G148,0),IFERROR(G153,0),IFERROR(G158,0),IFERROR(G163,0),IFERROR(G168,0),IFERROR(G173,0),IFERROR(G178,0),IFERROR(G183,0),IFERROR(G188,0),IFERROR(G193,0),IFERROR(G198,0),IFERROR(G203,0),IFERROR(G208,0),IFERROR(G213,0),IFERROR(G218,0),IFERROR(G223,0),IFERROR(G228,0),IFERROR(G233,0),IFERROR(G238,0),IFERROR(G243,0),IFERROR(G248,0),IFERROR(G253,0),IFERROR(G258,0),IFERROR(G263,0),IFERROR(G268,0),IFERROR(G273,0),IFERROR(G278,0),IFERROR(G283,0),IFERROR(G288,0),IFERROR(G293,0),IFERROR(G298,0),IFERROR(G303,0),IFERROR(G308,0),IFERROR(G313,0),IFERROR(G318,0),IFERROR(G323,0),IFERROR(G328,0),IFERROR(G333,0),IFERROR(G338,0),IFERROR(G343,0),IFERROR(G348,0),IFERROR(G353,0),IFERROR(G358,0),IFERROR(G363,0),IFERROR(G368,0),IFERROR(G373,0),IFERROR(G378,0),IFERROR(G383,0),IFERROR(G388,0),IFERROR(G393,0),IFERROR(G398,0),IFERROR(G403,0),IFERROR(G408,0),IFERROR(G413,0),IFERROR(G418,0),IFERROR(G423,0),IFERROR(G428,0),IFERROR(G433,0),IFERROR(G438,0),IFERROR(G443,0),IFERROR(G448,0),IFERROR(G453,0),IFERROR(G458,0),IFERROR(G463,0),IFERROR(G468,0),IFERROR(G473,0),IFERROR(G478,0),IFERROR(G483,0),IFERROR(G488,0),IFERROR(G493,0),IFERROR(G498,0),IFERROR(G503,0),IFERROR(G508,0),IFERROR(G513,0),IFERROR(G518,0),IFERROR(G523,0),IFERROR(G528,0),IFERROR($G$534:$G$537,0))/($G$553-SUM(IFERROR($G$22,0),IFERROR($G$24,0),IFERROR($G$551,0)))</f>
        <v>0</v>
      </c>
      <c r="L10" s="156">
        <f>IF(40%+(((E536/16)*20)/100)&lt;0.6,40%+(((E536/16)*20)/100),0.6)</f>
        <v>0.4</v>
      </c>
    </row>
    <row r="11" spans="1:14" ht="15" customHeight="1" thickBot="1" x14ac:dyDescent="0.35">
      <c r="A11" s="19"/>
      <c r="B11" s="19"/>
      <c r="C11" s="8"/>
      <c r="D11" s="3"/>
      <c r="E11" s="3"/>
      <c r="F11" s="19"/>
      <c r="G11" s="19"/>
      <c r="H11" s="4"/>
      <c r="I11" s="4"/>
      <c r="J11" s="114" t="s">
        <v>75</v>
      </c>
      <c r="K11" s="153" t="e">
        <f>$K$15/$K$14</f>
        <v>#DIV/0!</v>
      </c>
      <c r="L11" s="154"/>
    </row>
    <row r="12" spans="1:14" ht="15" thickBot="1" x14ac:dyDescent="0.35">
      <c r="A12" s="20"/>
      <c r="C12" s="19"/>
      <c r="D12" s="21"/>
      <c r="E12" s="19"/>
      <c r="F12" s="19"/>
      <c r="G12" s="19"/>
      <c r="I12" s="106" t="s">
        <v>73</v>
      </c>
    </row>
    <row r="13" spans="1:14" x14ac:dyDescent="0.3">
      <c r="A13" s="22" t="s">
        <v>12</v>
      </c>
      <c r="B13" s="23"/>
      <c r="C13" s="24"/>
      <c r="D13" s="24"/>
      <c r="E13" s="24"/>
      <c r="F13" s="25"/>
      <c r="G13" s="12" t="s">
        <v>7</v>
      </c>
      <c r="J13" s="270" t="s">
        <v>76</v>
      </c>
      <c r="K13" s="272"/>
    </row>
    <row r="14" spans="1:14" x14ac:dyDescent="0.3">
      <c r="A14" s="26" t="s">
        <v>13</v>
      </c>
      <c r="B14" s="27"/>
      <c r="C14" s="28"/>
      <c r="D14" s="28"/>
      <c r="E14" s="29"/>
      <c r="F14" s="30"/>
      <c r="G14" s="31">
        <v>195</v>
      </c>
      <c r="J14" s="110" t="s">
        <v>465</v>
      </c>
      <c r="K14" s="118">
        <f>SUM(IFERROR(G35,0),IFERROR(G280,0),IFERROR(G275,0),IFERROR(G270,0),IFERROR(G265,0),IFERROR(G260,0),IFERROR(G255,0),IFERROR(G250,0),IFERROR(G245,0),IFERROR(G240,0),IFERROR(G235,0),IFERROR(G230,0),IFERROR(G225,0),IFERROR(G220,0),IFERROR(G215,0),IFERROR(G210,0),IFERROR(G205,0),IFERROR(G200,0),IFERROR(G195,0),IFERROR(G190,0),IFERROR(G185,0),IFERROR(G180,0),IFERROR(G175,0),IFERROR(G170,0),IFERROR(G165,0),IFERROR(G160,0),IFERROR(G155,0),IFERROR(G150,0),IFERROR(G145,0),IFERROR(G140,0),IFERROR(G135,0),IFERROR(G130,0),IFERROR(G125,0),IFERROR(G120,0),IFERROR(G115,0),IFERROR(G110,0),IFERROR(G105,0),IFERROR(G100,0),IFERROR(G95,0),IFERROR(G90,0),IFERROR(G85,0),IFERROR(G80,0),IFERROR(G75,0),IFERROR(G70,0),IFERROR(G65,0),IFERROR(G60,0),IFERROR(G55,0),IFERROR(G50,0),IFERROR(G45,0),IFERROR(G40,0),IFERROR(G285,0),IFERROR(G290,0),IFERROR(G295,0),IFERROR(G300,0),IFERROR(G305,0),IFERROR(G310,0),IFERROR(G315,0),IFERROR(G320,0),IFERROR(G325,0),IFERROR(G330,0),IFERROR(G335,0),IFERROR(G340,0),IFERROR(G345,0),IFERROR(G350,0),IFERROR(G355,0),IFERROR(G360,0),IFERROR(G365,0),IFERROR(G370,0),IFERROR(G375,0),IFERROR(G380,0),IFERROR(G385,0),IFERROR(G390,0),IFERROR(G395,0),IFERROR(G400,0),IFERROR(G405,0),IFERROR(G410,0),IFERROR(G415,0),IFERROR(G420,0),IFERROR(G425,0),IFERROR(G430,0),IFERROR(G435,0),IFERROR(G440,0),IFERROR(G445,0),IFERROR(G450,0),IFERROR(G455,0),IFERROR(G460,0),IFERROR(G465,0),IFERROR(G470,0),IFERROR(G475,0),IFERROR(G480,0),IFERROR(G485,0),IFERROR(G490,0),IFERROR(G495,0),IFERROR(G500,0),IFERROR(G505,0),IFERROR(G510,0),IFERROR(G515,0),IFERROR(G520,0),IFERROR(G525,0),IFERROR(G530,0))</f>
        <v>0</v>
      </c>
    </row>
    <row r="15" spans="1:14" ht="15" thickBot="1" x14ac:dyDescent="0.35">
      <c r="A15" s="26" t="s">
        <v>14</v>
      </c>
      <c r="B15" s="27"/>
      <c r="C15" s="28"/>
      <c r="D15" s="28"/>
      <c r="E15" s="28"/>
      <c r="F15" s="30"/>
      <c r="G15" s="32">
        <v>95</v>
      </c>
      <c r="J15" s="110" t="s">
        <v>40</v>
      </c>
      <c r="K15" s="116">
        <f>SUM(IFERROR($G$542,0))</f>
        <v>0</v>
      </c>
    </row>
    <row r="16" spans="1:14" ht="15" thickBot="1" x14ac:dyDescent="0.35">
      <c r="A16" s="14" t="s">
        <v>293</v>
      </c>
      <c r="B16" s="15"/>
      <c r="C16" s="33"/>
      <c r="D16" s="33"/>
      <c r="E16" s="33"/>
      <c r="F16" s="34"/>
      <c r="G16" s="35">
        <f>ROUNDUP(($F$29*'PROJECT SUMMARY (Old)'!G4+'PROJECT SUMMARY (Old)'!G9)/185,0)*$F$29</f>
        <v>0</v>
      </c>
      <c r="I16" s="107">
        <f>$G$16/$F$29</f>
        <v>0</v>
      </c>
      <c r="J16" s="109"/>
      <c r="K16" s="111"/>
      <c r="M16" s="270" t="s">
        <v>77</v>
      </c>
      <c r="N16" s="272"/>
    </row>
    <row r="17" spans="1:16" x14ac:dyDescent="0.3">
      <c r="A17" s="27"/>
      <c r="B17" s="27"/>
      <c r="C17" s="28"/>
      <c r="D17" s="28"/>
      <c r="E17" s="37"/>
      <c r="F17" s="38"/>
      <c r="G17" s="39" cm="1">
        <f t="array" ref="G17">SUM(IFERROR(G14:G16,0))</f>
        <v>290</v>
      </c>
      <c r="J17" s="110" t="s">
        <v>38</v>
      </c>
      <c r="K17" s="116" cm="1">
        <f t="array" ref="K17">SUM(IFERROR(G35,0),IFERROR(G280,0),IFERROR(G275,0),IFERROR(G270,0),IFERROR(G265,0),IFERROR(G260,0),IFERROR(G255,0),IFERROR(G250,0),IFERROR(G245,0),IFERROR(G240,0),IFERROR(G235,0),IFERROR(G230,0),IFERROR(G225,0),IFERROR(G220,0),IFERROR(G215,0),IFERROR(G210,0),IFERROR(G205,0),IFERROR(G200,0),IFERROR(G195,0),IFERROR(G190,0),IFERROR(G185,0),IFERROR(G180,0),IFERROR(G175,0),IFERROR(G170,0),IFERROR(G165,0),IFERROR(G160,0),IFERROR(G155,0),IFERROR(G150,0),IFERROR(G145,0),IFERROR(G140,0),IFERROR(G135,0),IFERROR(G130,0),IFERROR(G125,0),IFERROR(G120,0),IFERROR(G115,0),IFERROR(G110,0),IFERROR(G105,0),IFERROR(G100,0),IFERROR(G95,0),IFERROR(G90,0),IFERROR(G85,0),IFERROR(G80,0),IFERROR(G75,0),IFERROR(G70,0),IFERROR(G65,0),IFERROR(G60,0),IFERROR(G55,0),IFERROR(G50,0),IFERROR(G45,0),IFERROR(G40,0),IFERROR(G533:G538,0),IFERROR(G285,0),IFERROR(G290,0),IFERROR(G295,0),IFERROR(G300,0),IFERROR(G305,0),IFERROR(G310,0),IFERROR(G315,0),IFERROR(G320,0),IFERROR(G325,0),IFERROR(G330,0),IFERROR(G335,0),IFERROR(G340,0),IFERROR(G345,0),IFERROR(G350,0),IFERROR(G355,0),IFERROR(G360,0),IFERROR(G365,0),IFERROR(G370,0),IFERROR(G375,0),IFERROR(G380,0),IFERROR(G385,0),IFERROR(G390,0),IFERROR(G395,0),IFERROR(G400,0),IFERROR(G405,0),IFERROR(G410,0),IFERROR(G415,0),IFERROR(G420,0),IFERROR(G425,0),IFERROR(G430,0),IFERROR(G435,0),IFERROR(G440,0),IFERROR(G445,0),IFERROR(G450,0),IFERROR(G455,0),IFERROR(G460,0),IFERROR(G465,0),IFERROR(G470,0),IFERROR(G475,0),IFERROR(G480,0),IFERROR(G485,0),IFERROR(G490,0),IFERROR(G495,0),IFERROR(G500,0),IFERROR(G505,0),IFERROR(G510,0),IFERROR(G515,0),IFERROR(G520,0),IFERROR(G525,0),IFERROR(G530,0))</f>
        <v>0</v>
      </c>
      <c r="M17" s="110" t="s">
        <v>42</v>
      </c>
      <c r="N17" s="116" cm="1">
        <f t="array" ref="N17">SUM(IFERROR($I$13:$I$552,0),IFERROR($E$533,0))+IF($E$31&gt;0,PRODUCT($C$31:$E$31),0)+IF($E$33&gt;0,PRODUCT($C$33:$E$33),0)+IF($E$29&gt;0,PRODUCT($C$29:$E$29),0)+IF($E$39&gt;0,PRODUCT($C$39:$E$39),0)+IF($E$44&gt;0,PRODUCT($C$44:$E$44),0)+IF($E$49&gt;0,PRODUCT($C$49:$E$49),0)+IF($E$54&gt;0,PRODUCT($C$54:$E$54),0)+IF($E$59&gt;0,PRODUCT($C$59:$E$59),0)+IF($E$64&gt;0,PRODUCT($C$64:$E$64),0)+IF($E$29&gt;0,PRODUCT($C$69:$E$69),0)+IF($E$74&gt;0,PRODUCT($C$74:$E$74),0)+IF($E$79&gt;0,PRODUCT($C$79:$E$79),0)+IF($E$84&gt;0,PRODUCT($C$84:$E$84),0)+IF($E$89&gt;0,PRODUCT($C$89:$E$89),0)+IF($E$94&gt;0,PRODUCT($C$94:$E$94),0)+IF($E$99&gt;0,PRODUCT($C$99:$E$99),0)+IF($E$104&gt;0,PRODUCT($C$104:$E$104),0)+IF($E$109&gt;0,PRODUCT($C$109:$E$109),0)+IF($E$114&gt;0,PRODUCT($C$114:$E$114),0)+IF($E$119&gt;0,PRODUCT($C$119:$E$119),0)+IF($E$124&gt;0,PRODUCT($C$124:$E$124),0)+IF($E$129&gt;0,PRODUCT($C$129:$E$129),0)+IF($E$134&gt;0,PRODUCT($C$134:$E$134),0)+IF($E$139&gt;0,PRODUCT($C$139:$E$139),0)+IF($E$144&gt;0,PRODUCT($C$144:$E$144),0)+IF($E$149&gt;0,PRODUCT($C$149:$E$149),0)+IF($E$154&gt;0,PRODUCT($C$154:$E$154),0)+IF($E$159&gt;0,PRODUCT($C$159:$E$159),0)+IF($E$164&gt;0,PRODUCT($C$164:$E$164),0)+IF($E$169&gt;0,PRODUCT($C$169:$E$169),0)+IF($E$174&gt;0,PRODUCT($C$174:$E$174),0)+IF($E$179&gt;0,PRODUCT($C$179:$E$179),0)+IF($E$184&gt;0,PRODUCT($C$184:$E$184),0)+IF($E$189&gt;0,PRODUCT($C$189:$E$189),0)+IF($E$194&gt;0,PRODUCT($C$194:$E$194),0)+IF($E$199&gt;0,PRODUCT($C$199:$E$199),0)+IF($E$204&gt;0,PRODUCT($C$204:$E$204),0)+IF($E$209&gt;0,PRODUCT($C$209:$E$209),0)+IF($E$214&gt;0,PRODUCT($C$214:$E$214),0)+IF($E$219&gt;0,PRODUCT($C$219:$E$219),0)+IF($E$224&gt;0,PRODUCT($C$224:$E$224),0)+IF($E$229&gt;0,PRODUCT($C$229:$E$229),0)+IF($E$234&gt;0,PRODUCT($C$234:$E$234),0)+IF($E$239&gt;0,PRODUCT($C$239:$E$239),0)+IF($E$244&gt;0,PRODUCT($C$244:$E$244),0)+IF($E$249&gt;0,PRODUCT($C$249:$E$249),0)+IF($E$254&gt;0,PRODUCT($C$254:$E$254),0)+IF($E$259&gt;0,PRODUCT($C$259:$E$259),0)+IF($E$264&gt;0,PRODUCT($C$264:$E$264),0)+IF($E$269&gt;0,PRODUCT($C$269:$E$269),0)+IF($E$274&gt;0,PRODUCT($C$274:$E$274),0)+IF($E$279&gt;0,PRODUCT($C$279:$E$279),0)+IF($E$284&gt;0,PRODUCT($C$284:$E$284),0)+IF($E$289&gt;0,PRODUCT($C$289:$E$289),0)+IF($E$294&gt;0,PRODUCT($C$294:$E$294),0)+IF($E$299&gt;0,PRODUCT($C$299:$E$299),0)+IF($E$304&gt;0,PRODUCT($C$304:$E$304),0)+IF($E$309&gt;0,PRODUCT($C$309:$E$309),0)+IF($E$314&gt;0,PRODUCT($C$314:$E$314),0)+IF($E$319&gt;0,PRODUCT($C$319:$E$319),0)+IF($E$324&gt;0,PRODUCT($C$324:$E$324),0)+IF($E$329&gt;0,PRODUCT($C$329:$E$329),0)+IF($E$334&gt;0,PRODUCT($C$334:$E$334),0)+IF($E$339&gt;0,PRODUCT($C$339:$E$339),0)+IF($E$344&gt;0,PRODUCT($C$344:$E$344),0)+IF($E$349&gt;0,PRODUCT($C$349:$E$349),0)+IF($E$354&gt;0,PRODUCT($C$354:$E$354),0)+IF($E$359&gt;0,PRODUCT($C$359:$E$359),0)+IF($E$364&gt;0,PRODUCT($C$364:$E$364),0)+IF($E$369&gt;0,PRODUCT($C$369:$E$369),0)+IF($E$374&gt;0,PRODUCT($C$374:$E$374),0)+IF($E$379&gt;0,PRODUCT($C$379:$E$379),0)+IF($E$384&gt;0,PRODUCT($C$384:$E$384),0)+IF($E$389&gt;0,PRODUCT($C$389:$E$389),0)+IF($E$394&gt;0,PRODUCT($C$394:$E$394),0)+IF($E$399&gt;0,PRODUCT($C$399:$E$399),0)+IF($E$404&gt;0,PRODUCT($C$404:$E$404),0)+IF($E$409&gt;0,PRODUCT($C$409:$E$409),0)+IF($E$414&gt;0,PRODUCT($C$414:$E$414),0)+IF($E$419&gt;0,PRODUCT($C$419:$E$419),0)+IF($E$424&gt;0,PRODUCT($C$424:$E$424),0)+IF($E$429&gt;0,PRODUCT($C$429:$E$429),0)+IF($E$434&gt;0,PRODUCT($C$434:$E$434),0)+IF($E$439&gt;0,PRODUCT($C$439:$E$439),0)+IF($E$444&gt;0,PRODUCT($C$444:$E$444),0)+IF($E$449&gt;0,PRODUCT($C$449:$E$449),0)+IF($E$454&gt;0,PRODUCT($C$454:$E$454),0)+IF($E$459&gt;0,PRODUCT($C$459:$E$459),0)+IF($E$464&gt;0,PRODUCT($C$464:$E$464),0)+IF($E$469&gt;0,PRODUCT($C$469:$E$469),0)+IF($E$474&gt;0,PRODUCT($C$474:$E$474),0)+IF($E$479&gt;0,PRODUCT($C$479:$E$479),0)+IF($E$484&gt;0,PRODUCT($C$484:$E$484),0)+IF($E$489&gt;0,PRODUCT($C$489:$E$489),0)+IF($E$494&gt;0,PRODUCT($C$494:$E$494),0)+IF($E$499&gt;0,PRODUCT($C$499:$E$499),0)+IF($E$504&gt;0,PRODUCT($C$504:$E$504),0)+IF($E$509&gt;0,PRODUCT($C$509:$E$509),0)+IF($E$514&gt;0,PRODUCT($C$514:$E$514),0)+IF($E$519&gt;0,PRODUCT($C$519:$E$519),0)+IF($E$524&gt;0,PRODUCT($C$524:$E$524),0)+IF($E$529&gt;0,PRODUCT($C$529:$E$529),0)</f>
        <v>0</v>
      </c>
    </row>
    <row r="18" spans="1:16" ht="15" thickBot="1" x14ac:dyDescent="0.35">
      <c r="A18" s="27"/>
      <c r="B18" s="27"/>
      <c r="C18" s="28"/>
      <c r="D18" s="28"/>
      <c r="E18" s="37"/>
      <c r="F18" s="38"/>
      <c r="G18" s="39"/>
      <c r="J18" s="110" t="s">
        <v>39</v>
      </c>
      <c r="K18" s="116" cm="1">
        <f t="array" ref="K18">SUM(IFERROR($G$17,0),IFERROR($G$25,0),IFERROR($G$540:$G$541,0),IFERROR($G$551,0))</f>
        <v>290</v>
      </c>
      <c r="M18" s="110" t="s">
        <v>43</v>
      </c>
      <c r="N18" s="116" cm="1">
        <f t="array" ref="N18">SUM(IFERROR($E$534:$E$538,0),IFERROR(PRODUCT($C$20:$E$20),0),IFERROR(PRODUCT($C$28:$E$28),0),IFERROR(PRODUCT($C$32:$E$32),0),IFERROR(PRODUCT($C$30:$E$30),0),IFERROR(PRODUCT($C$38:$E$38),0),IFERROR(PRODUCT($C$43:$E$43),0),IFERROR(PRODUCT($C$48:$E$48),0),IFERROR(PRODUCT($C$53:$E$53),0),IFERROR(PRODUCT($C$58:$E$58),0),IFERROR(PRODUCT($C$63:$E$63),0),IFERROR(PRODUCT($C$68:$E$68),0),IFERROR(PRODUCT($C$73:$E$73),0),IFERROR(PRODUCT($C$78:$E$78),0),IFERROR(PRODUCT($C$83:$E$83),0),IFERROR(PRODUCT($C$88:$E$88),0),IFERROR(PRODUCT($C$93:$E$93),0),IFERROR(PRODUCT($C$98:$E$98),0),IFERROR(PRODUCT($C$103:$E$103),0),IFERROR(PRODUCT($C$108:$E$108),0),IFERROR(PRODUCT($C$113:$E$113),0),IFERROR(PRODUCT($C$118:$E$118),0),IFERROR(PRODUCT($C$123:$E$123),0),IFERROR(PRODUCT($C$128:$E$128),0),IFERROR(PRODUCT($C$133:$E$133),0),IFERROR(PRODUCT($C$138:$E$138),0),IFERROR(PRODUCT($C$143:$E$143),0),IFERROR(PRODUCT($C$148:$E$148),0),IFERROR(PRODUCT($C$153:$E$153),0),IFERROR(PRODUCT($C$158:$E$158),0),IFERROR(PRODUCT($C$163:$E$163),0),IFERROR(PRODUCT($C$168:$E$168),0),IFERROR(PRODUCT($C$173:$E$173),0),IFERROR(PRODUCT($C$178:$E$178),0),IFERROR(PRODUCT($C$183:$E$183),0),IFERROR(PRODUCT($C$188:$E$188),0),IFERROR(PRODUCT($C$193:$E$193),0),IFERROR(PRODUCT($C$198:$E$198),0),IFERROR(PRODUCT($C$203:$E$203),0),IFERROR(PRODUCT($C$208:$E$208),0),IFERROR(PRODUCT($C$213:$E$213),0),IFERROR(PRODUCT($C$218:$E$218),0),IFERROR(PRODUCT($C$223:$E$223),0),IFERROR(PRODUCT($C$228:$E$228),0),IFERROR(PRODUCT($C$233:$E$233),0),IFERROR(PRODUCT($C$238:$E$238),0),IFERROR(PRODUCT($C$243:$E$243),0),IFERROR(PRODUCT($C$248:$E$248),0),IFERROR(PRODUCT($C$253:$E$253),0),IFERROR(PRODUCT($C$258:$E$258),0),IFERROR(PRODUCT($C$263:$E$263),0),IFERROR(PRODUCT($C$268:$E$268),0),IFERROR(PRODUCT($C$273:$E$273),0),IFERROR(PRODUCT($C$278:$E$278),0),IFERROR(PRODUCT($C$283:$E$283),0),IFERROR(PRODUCT($C$288:$E$288),0),IFERROR(PRODUCT($C$293:$E$293),0),IFERROR(PRODUCT($C$298:$E$298),0),IFERROR(PRODUCT($C$303:$E$303),0),IFERROR(PRODUCT($C$308:$E$308),0),IFERROR(PRODUCT($C$313:$E$313),0),IFERROR(PRODUCT($C$318:$E$318),0),IFERROR(PRODUCT($C$323:$E$323),0),IFERROR(PRODUCT($C$328:$E$328),0),IFERROR(PRODUCT($C$333:$E$333),0),IFERROR(PRODUCT($C$338:$E$338),0),IFERROR(PRODUCT($C$343:$E$343),0),IFERROR(PRODUCT($C$348:$E$348),0),IFERROR(PRODUCT($C$353:$E$353),0),IFERROR(PRODUCT($C$358:$E$358),0),IFERROR(PRODUCT($C$363:$E$363),0),IFERROR(PRODUCT($C$368:$E$368),0),IFERROR(PRODUCT($C$373:$E$373),0),IFERROR(PRODUCT($C$378:$E$378),0),IFERROR(PRODUCT($C$383:$E$383),0),IFERROR(PRODUCT($C$388:$E$388),0),IFERROR(PRODUCT($C$393:$E$393),0),IFERROR(PRODUCT($C$398:$E$398),0),IFERROR(PRODUCT($C$403:$E$403),0),IFERROR(PRODUCT($C$408:$E$408),0),IFERROR(PRODUCT($C$413:$E$413),0),IFERROR(PRODUCT($C$418:$E$418),0),IFERROR(PRODUCT($C$423:$E$423),0),IFERROR(PRODUCT($C$428:$E$428),0),IFERROR(PRODUCT($C$433:$E$433),0),IFERROR(PRODUCT($C$438:$E$438),0),IFERROR(PRODUCT($C$443:$E$443),0),IFERROR(PRODUCT($C$448:$E$448),0),IFERROR(PRODUCT($C$453:$E$453),0),IFERROR(PRODUCT($C$458:$E$458),0),IFERROR(PRODUCT($C$463:$E$463),0),IFERROR(PRODUCT($C$468:$E$468),0),IFERROR(PRODUCT($C$473:$E$473),0),IFERROR(PRODUCT($C$478:$E$478),0),IFERROR(PRODUCT($C$483:$E$483),0),IFERROR(PRODUCT($C$488:$E$488),0),IFERROR(PRODUCT($C$493:$E$493),0),IFERROR(PRODUCT($C$498:$E$498),0),IFERROR(PRODUCT($C$503:$E$503),0),IFERROR(PRODUCT($C$508:$E$508),0),IFERROR(PRODUCT($C$513:$E$513),0),IFERROR(PRODUCT($C$518:$E$518),0),IFERROR(PRODUCT($C$523:$E$523),0),IFERROR(PRODUCT($C$528:$E$528),0))</f>
        <v>0</v>
      </c>
      <c r="P18" s="101"/>
    </row>
    <row r="19" spans="1:16" ht="15" thickBot="1" x14ac:dyDescent="0.35">
      <c r="A19" s="40" t="s">
        <v>15</v>
      </c>
      <c r="B19" s="41"/>
      <c r="C19" s="11" t="s">
        <v>16</v>
      </c>
      <c r="D19" s="11" t="s">
        <v>4</v>
      </c>
      <c r="E19" s="11" t="s">
        <v>17</v>
      </c>
      <c r="F19" s="11" t="s">
        <v>6</v>
      </c>
      <c r="G19" s="12" t="s">
        <v>7</v>
      </c>
      <c r="J19" s="112" t="s">
        <v>7</v>
      </c>
      <c r="K19" s="120">
        <f>SUM($K$17:$K$18)</f>
        <v>290</v>
      </c>
      <c r="M19" s="110" t="s">
        <v>44</v>
      </c>
      <c r="N19" s="116">
        <f>SUM(IFERROR($I$535,0),IFERROR($I$542,0))</f>
        <v>0</v>
      </c>
      <c r="P19" s="101"/>
    </row>
    <row r="20" spans="1:16" ht="15" thickBot="1" x14ac:dyDescent="0.35">
      <c r="A20" s="26" t="s">
        <v>18</v>
      </c>
      <c r="B20" s="27"/>
      <c r="C20" s="42">
        <v>1</v>
      </c>
      <c r="D20" s="42">
        <v>1</v>
      </c>
      <c r="E20" s="43">
        <v>0</v>
      </c>
      <c r="F20" s="44" cm="1">
        <f t="array" ref="F20">IF(J2="Litigation - State Farm",_xlfn.XLOOKUP($J$2&amp;$J$4&amp;$J$5,LISTS!$D$14:$D$28&amp;LISTS!$C$14:$C$28&amp;LISTS!$B$14:$B$28,LISTS!$E$14:$E$28)*0.5,_xlfn.XLOOKUP($J$2&amp;$J$4&amp;$J$5,LISTS!$D$14:$D$28&amp;LISTS!$C$14:$C$28&amp;LISTS!$B$14:$B$28,LISTS!$E$14:$E$28))</f>
        <v>340</v>
      </c>
      <c r="G20" s="32">
        <f>+C20*D20*E20*F20</f>
        <v>0</v>
      </c>
      <c r="J20" s="131" t="s">
        <v>74</v>
      </c>
      <c r="M20" s="112" t="s">
        <v>90</v>
      </c>
      <c r="N20" s="117" cm="1">
        <f t="array" ref="N20">SUM(IFERROR($E$534:$E$537,0))</f>
        <v>0</v>
      </c>
    </row>
    <row r="21" spans="1:16" ht="15" thickBot="1" x14ac:dyDescent="0.35">
      <c r="A21" s="45"/>
      <c r="B21" s="46"/>
      <c r="C21" s="47" t="s">
        <v>16</v>
      </c>
      <c r="D21" s="47" t="s">
        <v>4</v>
      </c>
      <c r="E21" s="47" t="s">
        <v>19</v>
      </c>
      <c r="F21" s="47" t="s">
        <v>6</v>
      </c>
      <c r="G21" s="48" t="s">
        <v>7</v>
      </c>
    </row>
    <row r="22" spans="1:16" x14ac:dyDescent="0.3">
      <c r="A22" s="49" t="s">
        <v>20</v>
      </c>
      <c r="B22" s="50"/>
      <c r="C22" s="51">
        <v>1</v>
      </c>
      <c r="D22" s="52">
        <v>1</v>
      </c>
      <c r="E22" s="147">
        <v>0</v>
      </c>
      <c r="F22" s="53">
        <f>IF(J2="Litigation - State Farm",0.67*0.5,0.67)</f>
        <v>0.67</v>
      </c>
      <c r="G22" s="31">
        <f>+C22*D22*E22*F22</f>
        <v>0</v>
      </c>
      <c r="I22" s="108">
        <f>IF($E$20&gt;0,$C$29*$D$20*($E$20+3),0)</f>
        <v>0</v>
      </c>
      <c r="J22" s="10"/>
      <c r="K22" s="11" t="s">
        <v>163</v>
      </c>
      <c r="L22" s="11" t="s">
        <v>6</v>
      </c>
      <c r="M22" s="12" t="s">
        <v>7</v>
      </c>
    </row>
    <row r="23" spans="1:16" ht="14.25" customHeight="1" thickBot="1" x14ac:dyDescent="0.35">
      <c r="A23" s="26"/>
      <c r="B23" s="27"/>
      <c r="C23" s="55"/>
      <c r="D23" s="56" t="s">
        <v>4</v>
      </c>
      <c r="E23" s="56" t="s">
        <v>5</v>
      </c>
      <c r="F23" s="56" t="s">
        <v>6</v>
      </c>
      <c r="G23" s="57" t="s">
        <v>7</v>
      </c>
      <c r="J23" s="14" t="s">
        <v>159</v>
      </c>
      <c r="K23" s="137">
        <v>0</v>
      </c>
      <c r="L23" s="139">
        <v>0</v>
      </c>
      <c r="M23" s="136">
        <f>+K23*L23</f>
        <v>0</v>
      </c>
    </row>
    <row r="24" spans="1:16" ht="15" thickBot="1" x14ac:dyDescent="0.35">
      <c r="A24" s="14" t="s">
        <v>21</v>
      </c>
      <c r="B24" s="15"/>
      <c r="C24" s="16"/>
      <c r="D24" s="58">
        <v>5</v>
      </c>
      <c r="E24" s="58">
        <v>9</v>
      </c>
      <c r="F24" s="59">
        <v>0</v>
      </c>
      <c r="G24" s="60">
        <f>+D24*E24*F24</f>
        <v>0</v>
      </c>
      <c r="J24" s="141" t="s">
        <v>128</v>
      </c>
      <c r="K24" s="140"/>
      <c r="L24" s="140"/>
      <c r="M24" s="140"/>
    </row>
    <row r="25" spans="1:16" x14ac:dyDescent="0.3">
      <c r="A25" s="27"/>
      <c r="B25" s="27"/>
      <c r="C25" s="28"/>
      <c r="D25" s="28"/>
      <c r="E25" s="28"/>
      <c r="F25" s="38"/>
      <c r="G25" s="61" cm="1">
        <f t="array" ref="G25">SUM(IFERROR(G20:G24,0))</f>
        <v>0</v>
      </c>
      <c r="L25" s="135"/>
      <c r="M25" s="135"/>
    </row>
    <row r="26" spans="1:16" ht="15" thickBot="1" x14ac:dyDescent="0.35">
      <c r="A26" s="273" t="str">
        <f>"Site Address: " &amp; 'PROJECT SUMMARY (Old)'!C20 &amp; " - " &amp; 'PROJECT SUMMARY (Old)'!D20</f>
        <v xml:space="preserve">Site Address:  - </v>
      </c>
      <c r="B26" s="273"/>
      <c r="C26" s="273"/>
      <c r="D26" s="273"/>
      <c r="E26" s="273"/>
      <c r="F26" s="273"/>
      <c r="G26" s="273"/>
    </row>
    <row r="27" spans="1:16" x14ac:dyDescent="0.3">
      <c r="A27" s="40" t="s">
        <v>464</v>
      </c>
      <c r="B27" s="41"/>
      <c r="C27" s="11" t="s">
        <v>16</v>
      </c>
      <c r="D27" s="11" t="s">
        <v>4</v>
      </c>
      <c r="E27" s="11" t="s">
        <v>17</v>
      </c>
      <c r="F27" s="11" t="s">
        <v>6</v>
      </c>
      <c r="G27" s="12" t="s">
        <v>7</v>
      </c>
      <c r="J27" s="142" t="s">
        <v>410</v>
      </c>
    </row>
    <row r="28" spans="1:16" x14ac:dyDescent="0.3">
      <c r="A28" s="26" t="s">
        <v>279</v>
      </c>
      <c r="B28" s="27"/>
      <c r="C28" s="42">
        <v>1</v>
      </c>
      <c r="D28" s="42">
        <v>1</v>
      </c>
      <c r="E28" s="64">
        <v>0</v>
      </c>
      <c r="F28" s="44" cm="1">
        <f t="array" ref="F28">_xlfn.XLOOKUP($J$2&amp;$J$4&amp;$J$5,LISTS!$D$14:$D$28&amp;LISTS!$C$14:$C$28&amp;LISTS!$B$14:$B$28,LISTS!$E$14:$E$28)</f>
        <v>340</v>
      </c>
      <c r="G28" s="32">
        <f>+C28*D28*E28*F28</f>
        <v>0</v>
      </c>
      <c r="J28" s="122">
        <f>MROUND(_xlfn.XLOOKUP($J$3,DATA!$B$67:$B$83,DATA!$C$67:$C$83),0.25)</f>
        <v>0</v>
      </c>
      <c r="K28" t="s">
        <v>283</v>
      </c>
    </row>
    <row r="29" spans="1:16" x14ac:dyDescent="0.3">
      <c r="A29" s="26" t="s">
        <v>280</v>
      </c>
      <c r="B29" s="27"/>
      <c r="C29" s="42">
        <v>1</v>
      </c>
      <c r="D29" s="42">
        <v>1</v>
      </c>
      <c r="E29" s="64">
        <v>0</v>
      </c>
      <c r="F29" s="44">
        <f>IF(J2="Fire - Liberty Mutual/State Auto",100,_xlfn.XLOOKUP($J$4,LISTS!$B$32:$B$33,LISTS!$C$32:$C$33))</f>
        <v>185</v>
      </c>
      <c r="G29" s="32">
        <f t="shared" ref="G29:G34" si="0">+C29*D29*E29*F29</f>
        <v>0</v>
      </c>
      <c r="J29" s="122">
        <f>MROUND(_xlfn.XLOOKUP($J$3,DATA!$B$67:$B$83,DATA!$D$67:$D$83),0.25)</f>
        <v>0</v>
      </c>
      <c r="K29" t="s">
        <v>284</v>
      </c>
    </row>
    <row r="30" spans="1:16" x14ac:dyDescent="0.3">
      <c r="A30" s="26" t="s">
        <v>285</v>
      </c>
      <c r="B30" s="27"/>
      <c r="C30" s="42">
        <v>0</v>
      </c>
      <c r="D30" s="42">
        <v>0</v>
      </c>
      <c r="E30" s="64">
        <v>0</v>
      </c>
      <c r="F30" s="44" cm="1">
        <f t="array" ref="F30">_xlfn.XLOOKUP($J$2&amp;$J$4&amp;$J$5,LISTS!$D$14:$D$28&amp;LISTS!$C$14:$C$28&amp;LISTS!$B$14:$B$28,LISTS!$E$14:$E$28)</f>
        <v>340</v>
      </c>
      <c r="G30" s="32">
        <f t="shared" si="0"/>
        <v>0</v>
      </c>
      <c r="J30" s="119" t="s">
        <v>282</v>
      </c>
      <c r="K30" t="s">
        <v>288</v>
      </c>
    </row>
    <row r="31" spans="1:16" x14ac:dyDescent="0.3">
      <c r="A31" s="26" t="s">
        <v>286</v>
      </c>
      <c r="B31" s="27"/>
      <c r="C31" s="42">
        <v>0</v>
      </c>
      <c r="D31" s="42">
        <v>0</v>
      </c>
      <c r="E31" s="64">
        <v>0</v>
      </c>
      <c r="F31" s="44">
        <f>IF(J4="Fire - Liberty Mutual/State Auto",100,_xlfn.XLOOKUP($J$4,LISTS!$B$32:$B$33,LISTS!$C$32:$C$33))</f>
        <v>185</v>
      </c>
      <c r="G31" s="32">
        <f t="shared" si="0"/>
        <v>0</v>
      </c>
      <c r="J31" s="119" t="s">
        <v>282</v>
      </c>
      <c r="K31" t="s">
        <v>287</v>
      </c>
    </row>
    <row r="32" spans="1:16" x14ac:dyDescent="0.3">
      <c r="A32" s="26" t="s">
        <v>289</v>
      </c>
      <c r="B32" s="27"/>
      <c r="C32" s="42">
        <v>0</v>
      </c>
      <c r="D32" s="42">
        <v>0</v>
      </c>
      <c r="E32" s="64">
        <v>0</v>
      </c>
      <c r="F32" s="44" cm="1">
        <f t="array" ref="F32">_xlfn.XLOOKUP($J$2&amp;$J$4&amp;$J$5,LISTS!$D$14:$D$28&amp;LISTS!$C$14:$C$28&amp;LISTS!$B$14:$B$28,LISTS!$E$14:$E$28)</f>
        <v>340</v>
      </c>
      <c r="G32" s="32">
        <f t="shared" si="0"/>
        <v>0</v>
      </c>
      <c r="J32" s="119" t="s">
        <v>282</v>
      </c>
      <c r="K32" t="s">
        <v>291</v>
      </c>
    </row>
    <row r="33" spans="1:16" x14ac:dyDescent="0.3">
      <c r="A33" s="26" t="s">
        <v>290</v>
      </c>
      <c r="B33" s="27"/>
      <c r="C33" s="42">
        <v>0</v>
      </c>
      <c r="D33" s="42">
        <v>0</v>
      </c>
      <c r="E33" s="64">
        <v>0</v>
      </c>
      <c r="F33" s="44">
        <f>IF(J6="Fire - Liberty Mutual/State Auto",100,_xlfn.XLOOKUP($J$4,LISTS!$B$32:$B$33,LISTS!$C$32:$C$33))</f>
        <v>185</v>
      </c>
      <c r="G33" s="32">
        <f t="shared" si="0"/>
        <v>0</v>
      </c>
      <c r="J33" s="119" t="s">
        <v>282</v>
      </c>
      <c r="K33" t="s">
        <v>292</v>
      </c>
    </row>
    <row r="34" spans="1:16" ht="15" thickBot="1" x14ac:dyDescent="0.35">
      <c r="A34" s="14" t="s">
        <v>89</v>
      </c>
      <c r="B34" s="15"/>
      <c r="C34" s="58">
        <v>0</v>
      </c>
      <c r="D34" s="58">
        <v>0</v>
      </c>
      <c r="E34" s="65">
        <v>0</v>
      </c>
      <c r="F34" s="59">
        <f>_xlfn.XLOOKUP(J$4,LISTS!B$37:B$38,LISTS!C$37:C$38)</f>
        <v>250</v>
      </c>
      <c r="G34" s="60">
        <f t="shared" si="0"/>
        <v>0</v>
      </c>
      <c r="N34" s="6"/>
      <c r="P34" s="101"/>
    </row>
    <row r="35" spans="1:16" ht="14.25" customHeight="1" x14ac:dyDescent="0.3">
      <c r="A35" s="27"/>
      <c r="B35" s="27"/>
      <c r="C35" s="28"/>
      <c r="D35" s="28"/>
      <c r="E35" s="28"/>
      <c r="F35" s="38"/>
      <c r="G35" s="61" cm="1">
        <f t="array" ref="G35">SUM(IFERROR(G28:G34,0))</f>
        <v>0</v>
      </c>
      <c r="N35" s="6"/>
      <c r="P35" s="101"/>
    </row>
    <row r="36" spans="1:16" ht="14.7" hidden="1" customHeight="1" thickBot="1" x14ac:dyDescent="0.35">
      <c r="A36" s="273" t="str">
        <f>"Site Address: " &amp; 'PROJECT SUMMARY (Old)'!C21 &amp; " - " &amp; 'PROJECT SUMMARY (Old)'!D21</f>
        <v xml:space="preserve">Site Address:  - </v>
      </c>
      <c r="B36" s="273"/>
      <c r="C36" s="273"/>
      <c r="D36" s="273"/>
      <c r="E36" s="273"/>
      <c r="F36" s="273"/>
      <c r="G36" s="273"/>
      <c r="K36" s="86"/>
    </row>
    <row r="37" spans="1:16" hidden="1" x14ac:dyDescent="0.3">
      <c r="A37" s="40" t="s">
        <v>464</v>
      </c>
      <c r="B37" s="41"/>
      <c r="C37" s="11" t="s">
        <v>16</v>
      </c>
      <c r="D37" s="11" t="s">
        <v>4</v>
      </c>
      <c r="E37" s="11" t="s">
        <v>17</v>
      </c>
      <c r="F37" s="11" t="s">
        <v>6</v>
      </c>
      <c r="G37" s="12" t="s">
        <v>7</v>
      </c>
    </row>
    <row r="38" spans="1:16" hidden="1" x14ac:dyDescent="0.3">
      <c r="A38" s="26" t="s">
        <v>279</v>
      </c>
      <c r="B38" s="27"/>
      <c r="C38" s="42">
        <v>1</v>
      </c>
      <c r="D38" s="42">
        <v>1</v>
      </c>
      <c r="E38" s="64">
        <v>0</v>
      </c>
      <c r="F38" s="44" cm="1">
        <f t="array" ref="F38">_xlfn.XLOOKUP($J$2&amp;$J$4&amp;$J$5,LISTS!$D$14:$D$28&amp;LISTS!$C$14:$C$28&amp;LISTS!$B$14:$B$28,LISTS!$E$14:$E$28)</f>
        <v>340</v>
      </c>
      <c r="G38" s="32">
        <f>+C38*D38*E38*F38</f>
        <v>0</v>
      </c>
      <c r="J38" s="122" t="e">
        <f>MROUND(SUM(#REF!,#REF!,#REF!,#REF!,#REF!),0.25)</f>
        <v>#REF!</v>
      </c>
      <c r="K38" t="s">
        <v>283</v>
      </c>
    </row>
    <row r="39" spans="1:16" ht="15" hidden="1" thickBot="1" x14ac:dyDescent="0.35">
      <c r="A39" s="14" t="s">
        <v>280</v>
      </c>
      <c r="B39" s="15"/>
      <c r="C39" s="58">
        <v>1</v>
      </c>
      <c r="D39" s="58">
        <v>1</v>
      </c>
      <c r="E39" s="65">
        <v>0</v>
      </c>
      <c r="F39" s="59">
        <f>IF(J2="Fire - Liberty Mutual/State Auto",100,_xlfn.XLOOKUP($J$4,LISTS!$B$32:$B$33,LISTS!$C$32:$C$33))</f>
        <v>185</v>
      </c>
      <c r="G39" s="60">
        <f>+C39*D39*E39*F39</f>
        <v>0</v>
      </c>
      <c r="J39" s="122" t="e">
        <f>MROUND(SUM(#REF!,#REF!,#REF!,#REF!,#REF!,#REF!,#REF!,#REF!),0.25)</f>
        <v>#REF!</v>
      </c>
      <c r="K39" t="s">
        <v>284</v>
      </c>
    </row>
    <row r="40" spans="1:16" hidden="1" x14ac:dyDescent="0.3">
      <c r="A40" s="27"/>
      <c r="B40" s="27"/>
      <c r="C40" s="182"/>
      <c r="D40" s="182"/>
      <c r="E40" s="63"/>
      <c r="F40" s="38"/>
      <c r="G40" s="61" cm="1">
        <f t="array" ref="G40">SUM(IFERROR(G38:G39,0))</f>
        <v>0</v>
      </c>
    </row>
    <row r="41" spans="1:16" ht="15" hidden="1" thickBot="1" x14ac:dyDescent="0.35">
      <c r="A41" s="273" t="str">
        <f>"Site Address: " &amp; 'PROJECT SUMMARY (Old)'!C22 &amp; " - " &amp; 'PROJECT SUMMARY (Old)'!D22</f>
        <v xml:space="preserve">Site Address:  - </v>
      </c>
      <c r="B41" s="273"/>
      <c r="C41" s="273"/>
      <c r="D41" s="273"/>
      <c r="E41" s="273"/>
      <c r="F41" s="273"/>
      <c r="G41" s="273"/>
      <c r="K41" s="86"/>
    </row>
    <row r="42" spans="1:16" hidden="1" x14ac:dyDescent="0.3">
      <c r="A42" s="40" t="s">
        <v>464</v>
      </c>
      <c r="B42" s="41"/>
      <c r="C42" s="11" t="s">
        <v>16</v>
      </c>
      <c r="D42" s="11" t="s">
        <v>4</v>
      </c>
      <c r="E42" s="11" t="s">
        <v>17</v>
      </c>
      <c r="F42" s="11" t="s">
        <v>6</v>
      </c>
      <c r="G42" s="12" t="s">
        <v>7</v>
      </c>
    </row>
    <row r="43" spans="1:16" hidden="1" x14ac:dyDescent="0.3">
      <c r="A43" s="26" t="s">
        <v>279</v>
      </c>
      <c r="B43" s="27"/>
      <c r="C43" s="42">
        <v>1</v>
      </c>
      <c r="D43" s="42">
        <v>1</v>
      </c>
      <c r="E43" s="64">
        <v>0</v>
      </c>
      <c r="F43" s="44" cm="1">
        <f t="array" ref="F43">_xlfn.XLOOKUP($J$2&amp;$J$4&amp;$J$5,LISTS!$D$14:$D$28&amp;LISTS!$C$14:$C$28&amp;LISTS!$B$14:$B$28,LISTS!$E$14:$E$28)</f>
        <v>340</v>
      </c>
      <c r="G43" s="32">
        <f>+C43*D43*E43*F43</f>
        <v>0</v>
      </c>
      <c r="J43" s="122" t="e">
        <f>MROUND(SUM(#REF!,#REF!,#REF!,#REF!,#REF!),0.25)</f>
        <v>#REF!</v>
      </c>
      <c r="K43" t="s">
        <v>283</v>
      </c>
    </row>
    <row r="44" spans="1:16" ht="15" hidden="1" thickBot="1" x14ac:dyDescent="0.35">
      <c r="A44" s="14" t="s">
        <v>280</v>
      </c>
      <c r="B44" s="15"/>
      <c r="C44" s="58">
        <v>1</v>
      </c>
      <c r="D44" s="58">
        <v>1</v>
      </c>
      <c r="E44" s="65">
        <v>0</v>
      </c>
      <c r="F44" s="59">
        <f>IF(J7="Fire - Liberty Mutual/State Auto",100,_xlfn.XLOOKUP($J$4,LISTS!$B$32:$B$33,LISTS!$C$32:$C$33))</f>
        <v>185</v>
      </c>
      <c r="G44" s="60">
        <f>+C44*D44*E44*F44</f>
        <v>0</v>
      </c>
      <c r="J44" s="122" t="e">
        <f>MROUND(SUM(#REF!,#REF!,#REF!,#REF!,#REF!,#REF!,#REF!,#REF!),0.25)</f>
        <v>#REF!</v>
      </c>
      <c r="K44" t="s">
        <v>284</v>
      </c>
    </row>
    <row r="45" spans="1:16" hidden="1" x14ac:dyDescent="0.3">
      <c r="A45" s="27"/>
      <c r="B45" s="27"/>
      <c r="C45" s="182"/>
      <c r="D45" s="182"/>
      <c r="E45" s="63"/>
      <c r="F45" s="38"/>
      <c r="G45" s="61" cm="1">
        <f t="array" ref="G45">SUM(IFERROR(G43:G44,0))</f>
        <v>0</v>
      </c>
    </row>
    <row r="46" spans="1:16" ht="15" hidden="1" thickBot="1" x14ac:dyDescent="0.35">
      <c r="A46" s="273" t="str">
        <f>"Site Address: " &amp; 'PROJECT SUMMARY (Old)'!C23 &amp; " - " &amp; 'PROJECT SUMMARY (Old)'!D23</f>
        <v xml:space="preserve">Site Address:  - </v>
      </c>
      <c r="B46" s="273"/>
      <c r="C46" s="273"/>
      <c r="D46" s="273"/>
      <c r="E46" s="273"/>
      <c r="F46" s="273"/>
      <c r="G46" s="273"/>
      <c r="K46" s="86"/>
    </row>
    <row r="47" spans="1:16" hidden="1" x14ac:dyDescent="0.3">
      <c r="A47" s="40" t="s">
        <v>464</v>
      </c>
      <c r="B47" s="41"/>
      <c r="C47" s="11" t="s">
        <v>16</v>
      </c>
      <c r="D47" s="11" t="s">
        <v>4</v>
      </c>
      <c r="E47" s="11" t="s">
        <v>17</v>
      </c>
      <c r="F47" s="11" t="s">
        <v>6</v>
      </c>
      <c r="G47" s="12" t="s">
        <v>7</v>
      </c>
    </row>
    <row r="48" spans="1:16" hidden="1" x14ac:dyDescent="0.3">
      <c r="A48" s="26" t="s">
        <v>279</v>
      </c>
      <c r="B48" s="27"/>
      <c r="C48" s="42">
        <v>1</v>
      </c>
      <c r="D48" s="42">
        <v>1</v>
      </c>
      <c r="E48" s="64">
        <v>0</v>
      </c>
      <c r="F48" s="44" cm="1">
        <f t="array" ref="F48">_xlfn.XLOOKUP($J$2&amp;$J$4&amp;$J$5,LISTS!$D$14:$D$28&amp;LISTS!$C$14:$C$28&amp;LISTS!$B$14:$B$28,LISTS!$E$14:$E$28)</f>
        <v>340</v>
      </c>
      <c r="G48" s="32">
        <f>+C48*D48*E48*F48</f>
        <v>0</v>
      </c>
      <c r="J48" s="122" t="e">
        <f>MROUND(SUM(#REF!,#REF!,#REF!,#REF!,#REF!),0.25)</f>
        <v>#REF!</v>
      </c>
      <c r="K48" t="s">
        <v>283</v>
      </c>
    </row>
    <row r="49" spans="1:11" ht="15" hidden="1" thickBot="1" x14ac:dyDescent="0.35">
      <c r="A49" s="14" t="s">
        <v>280</v>
      </c>
      <c r="B49" s="15"/>
      <c r="C49" s="58">
        <v>1</v>
      </c>
      <c r="D49" s="58">
        <v>1</v>
      </c>
      <c r="E49" s="65">
        <v>0</v>
      </c>
      <c r="F49" s="59">
        <f>IF(J12="Fire - Liberty Mutual/State Auto",100,_xlfn.XLOOKUP($J$4,LISTS!$B$32:$B$33,LISTS!$C$32:$C$33))</f>
        <v>185</v>
      </c>
      <c r="G49" s="60">
        <f>+C49*D49*E49*F49</f>
        <v>0</v>
      </c>
      <c r="J49" s="122" t="e">
        <f>MROUND(SUM(#REF!,#REF!,#REF!,#REF!,#REF!,#REF!,#REF!,#REF!),0.25)</f>
        <v>#REF!</v>
      </c>
      <c r="K49" t="s">
        <v>284</v>
      </c>
    </row>
    <row r="50" spans="1:11" hidden="1" x14ac:dyDescent="0.3">
      <c r="A50" s="27"/>
      <c r="B50" s="27"/>
      <c r="C50" s="182"/>
      <c r="D50" s="182"/>
      <c r="E50" s="63"/>
      <c r="F50" s="38"/>
      <c r="G50" s="61" cm="1">
        <f t="array" ref="G50">SUM(IFERROR(G48:G49,0))</f>
        <v>0</v>
      </c>
    </row>
    <row r="51" spans="1:11" ht="15" hidden="1" thickBot="1" x14ac:dyDescent="0.35">
      <c r="A51" s="273" t="str">
        <f>"Site Address: " &amp; 'PROJECT SUMMARY (Old)'!C24 &amp; " - " &amp; 'PROJECT SUMMARY (Old)'!D24</f>
        <v xml:space="preserve">Site Address:  - </v>
      </c>
      <c r="B51" s="273"/>
      <c r="C51" s="273"/>
      <c r="D51" s="273"/>
      <c r="E51" s="273"/>
      <c r="F51" s="273"/>
      <c r="G51" s="273"/>
      <c r="K51" s="86"/>
    </row>
    <row r="52" spans="1:11" hidden="1" x14ac:dyDescent="0.3">
      <c r="A52" s="40" t="s">
        <v>464</v>
      </c>
      <c r="B52" s="41"/>
      <c r="C52" s="11" t="s">
        <v>16</v>
      </c>
      <c r="D52" s="11" t="s">
        <v>4</v>
      </c>
      <c r="E52" s="11" t="s">
        <v>17</v>
      </c>
      <c r="F52" s="11" t="s">
        <v>6</v>
      </c>
      <c r="G52" s="12" t="s">
        <v>7</v>
      </c>
    </row>
    <row r="53" spans="1:11" hidden="1" x14ac:dyDescent="0.3">
      <c r="A53" s="26" t="s">
        <v>279</v>
      </c>
      <c r="B53" s="27"/>
      <c r="C53" s="42">
        <v>1</v>
      </c>
      <c r="D53" s="42">
        <v>1</v>
      </c>
      <c r="E53" s="64">
        <v>0</v>
      </c>
      <c r="F53" s="44" cm="1">
        <f t="array" ref="F53">_xlfn.XLOOKUP($J$2&amp;$J$4&amp;$J$5,LISTS!$D$14:$D$28&amp;LISTS!$C$14:$C$28&amp;LISTS!$B$14:$B$28,LISTS!$E$14:$E$28)</f>
        <v>340</v>
      </c>
      <c r="G53" s="32">
        <f>+C53*D53*E53*F53</f>
        <v>0</v>
      </c>
      <c r="J53" s="122" t="e">
        <f>MROUND(SUM(#REF!,#REF!,#REF!,#REF!,#REF!),0.25)</f>
        <v>#REF!</v>
      </c>
      <c r="K53" t="s">
        <v>283</v>
      </c>
    </row>
    <row r="54" spans="1:11" ht="15" hidden="1" thickBot="1" x14ac:dyDescent="0.35">
      <c r="A54" s="14" t="s">
        <v>280</v>
      </c>
      <c r="B54" s="15"/>
      <c r="C54" s="58">
        <v>1</v>
      </c>
      <c r="D54" s="58">
        <v>1</v>
      </c>
      <c r="E54" s="65">
        <v>0</v>
      </c>
      <c r="F54" s="59">
        <f>IF(J17="Fire - Liberty Mutual/State Auto",100,_xlfn.XLOOKUP($J$4,LISTS!$B$32:$B$33,LISTS!$C$32:$C$33))</f>
        <v>185</v>
      </c>
      <c r="G54" s="60">
        <f>+C54*D54*E54*F54</f>
        <v>0</v>
      </c>
      <c r="J54" s="122" t="e">
        <f>MROUND(SUM(#REF!,#REF!,#REF!,#REF!,#REF!,#REF!,#REF!,#REF!),0.25)</f>
        <v>#REF!</v>
      </c>
      <c r="K54" t="s">
        <v>284</v>
      </c>
    </row>
    <row r="55" spans="1:11" hidden="1" x14ac:dyDescent="0.3">
      <c r="A55" s="27"/>
      <c r="B55" s="27"/>
      <c r="C55" s="182"/>
      <c r="D55" s="182"/>
      <c r="E55" s="63"/>
      <c r="F55" s="38"/>
      <c r="G55" s="61" cm="1">
        <f t="array" ref="G55">SUM(IFERROR(G53:G54,0))</f>
        <v>0</v>
      </c>
    </row>
    <row r="56" spans="1:11" ht="15" hidden="1" thickBot="1" x14ac:dyDescent="0.35">
      <c r="A56" s="273" t="str">
        <f>"Site Address: " &amp; 'PROJECT SUMMARY (Old)'!C25 &amp; " - " &amp; 'PROJECT SUMMARY (Old)'!D25</f>
        <v xml:space="preserve">Site Address:  - </v>
      </c>
      <c r="B56" s="273"/>
      <c r="C56" s="273"/>
      <c r="D56" s="273"/>
      <c r="E56" s="273"/>
      <c r="F56" s="273"/>
      <c r="G56" s="273"/>
      <c r="K56" s="86"/>
    </row>
    <row r="57" spans="1:11" hidden="1" x14ac:dyDescent="0.3">
      <c r="A57" s="40" t="s">
        <v>464</v>
      </c>
      <c r="B57" s="41"/>
      <c r="C57" s="11" t="s">
        <v>16</v>
      </c>
      <c r="D57" s="11" t="s">
        <v>4</v>
      </c>
      <c r="E57" s="11" t="s">
        <v>17</v>
      </c>
      <c r="F57" s="11" t="s">
        <v>6</v>
      </c>
      <c r="G57" s="12" t="s">
        <v>7</v>
      </c>
    </row>
    <row r="58" spans="1:11" hidden="1" x14ac:dyDescent="0.3">
      <c r="A58" s="26" t="s">
        <v>279</v>
      </c>
      <c r="B58" s="27"/>
      <c r="C58" s="42">
        <v>1</v>
      </c>
      <c r="D58" s="42">
        <v>1</v>
      </c>
      <c r="E58" s="64">
        <v>0</v>
      </c>
      <c r="F58" s="44" cm="1">
        <f t="array" ref="F58">_xlfn.XLOOKUP($J$2&amp;$J$4&amp;$J$5,LISTS!$D$14:$D$28&amp;LISTS!$C$14:$C$28&amp;LISTS!$B$14:$B$28,LISTS!$E$14:$E$28)</f>
        <v>340</v>
      </c>
      <c r="G58" s="32">
        <f>+C58*D58*E58*F58</f>
        <v>0</v>
      </c>
      <c r="J58" s="122" t="e">
        <f>MROUND(SUM(#REF!,#REF!,#REF!,#REF!,#REF!),0.25)</f>
        <v>#REF!</v>
      </c>
      <c r="K58" t="s">
        <v>283</v>
      </c>
    </row>
    <row r="59" spans="1:11" ht="15" hidden="1" thickBot="1" x14ac:dyDescent="0.35">
      <c r="A59" s="14" t="s">
        <v>280</v>
      </c>
      <c r="B59" s="15"/>
      <c r="C59" s="58">
        <v>1</v>
      </c>
      <c r="D59" s="58">
        <v>1</v>
      </c>
      <c r="E59" s="65">
        <v>0</v>
      </c>
      <c r="F59" s="59">
        <f>IF(J22="Fire - Liberty Mutual/State Auto",100,_xlfn.XLOOKUP($J$4,LISTS!$B$32:$B$33,LISTS!$C$32:$C$33))</f>
        <v>185</v>
      </c>
      <c r="G59" s="60">
        <f>+C59*D59*E59*F59</f>
        <v>0</v>
      </c>
      <c r="J59" s="122" t="e">
        <f>MROUND(SUM(#REF!,#REF!,#REF!,#REF!,#REF!,#REF!,#REF!,#REF!),0.25)</f>
        <v>#REF!</v>
      </c>
      <c r="K59" t="s">
        <v>284</v>
      </c>
    </row>
    <row r="60" spans="1:11" hidden="1" x14ac:dyDescent="0.3">
      <c r="A60" s="27"/>
      <c r="B60" s="27"/>
      <c r="C60" s="182"/>
      <c r="D60" s="182"/>
      <c r="E60" s="63"/>
      <c r="F60" s="38"/>
      <c r="G60" s="61" cm="1">
        <f t="array" ref="G60">SUM(IFERROR(G58:G59,0))</f>
        <v>0</v>
      </c>
    </row>
    <row r="61" spans="1:11" ht="15" hidden="1" thickBot="1" x14ac:dyDescent="0.35">
      <c r="A61" s="273" t="str">
        <f>"Site Address: " &amp; 'PROJECT SUMMARY (Old)'!C26 &amp; " - " &amp; 'PROJECT SUMMARY (Old)'!D26</f>
        <v xml:space="preserve">Site Address:  - </v>
      </c>
      <c r="B61" s="273"/>
      <c r="C61" s="273"/>
      <c r="D61" s="273"/>
      <c r="E61" s="273"/>
      <c r="F61" s="273"/>
      <c r="G61" s="273"/>
      <c r="K61" s="86"/>
    </row>
    <row r="62" spans="1:11" hidden="1" x14ac:dyDescent="0.3">
      <c r="A62" s="40" t="s">
        <v>464</v>
      </c>
      <c r="B62" s="41"/>
      <c r="C62" s="11" t="s">
        <v>16</v>
      </c>
      <c r="D62" s="11" t="s">
        <v>4</v>
      </c>
      <c r="E62" s="11" t="s">
        <v>17</v>
      </c>
      <c r="F62" s="11" t="s">
        <v>6</v>
      </c>
      <c r="G62" s="12" t="s">
        <v>7</v>
      </c>
    </row>
    <row r="63" spans="1:11" hidden="1" x14ac:dyDescent="0.3">
      <c r="A63" s="26" t="s">
        <v>279</v>
      </c>
      <c r="B63" s="27"/>
      <c r="C63" s="42">
        <v>1</v>
      </c>
      <c r="D63" s="42">
        <v>1</v>
      </c>
      <c r="E63" s="64">
        <v>0</v>
      </c>
      <c r="F63" s="44" cm="1">
        <f t="array" ref="F63">_xlfn.XLOOKUP($J$2&amp;$J$4&amp;$J$5,LISTS!$D$14:$D$28&amp;LISTS!$C$14:$C$28&amp;LISTS!$B$14:$B$28,LISTS!$E$14:$E$28)</f>
        <v>340</v>
      </c>
      <c r="G63" s="32">
        <f>+C63*D63*E63*F63</f>
        <v>0</v>
      </c>
      <c r="J63" s="122" t="e">
        <f>MROUND(SUM(#REF!,#REF!,#REF!,#REF!,#REF!),0.25)</f>
        <v>#REF!</v>
      </c>
      <c r="K63" t="s">
        <v>283</v>
      </c>
    </row>
    <row r="64" spans="1:11" ht="15" hidden="1" thickBot="1" x14ac:dyDescent="0.35">
      <c r="A64" s="14" t="s">
        <v>280</v>
      </c>
      <c r="B64" s="15"/>
      <c r="C64" s="58">
        <v>1</v>
      </c>
      <c r="D64" s="58">
        <v>1</v>
      </c>
      <c r="E64" s="65">
        <v>0</v>
      </c>
      <c r="F64" s="59">
        <f>IF(J27="Fire - Liberty Mutual/State Auto",100,_xlfn.XLOOKUP($J$4,LISTS!$B$32:$B$33,LISTS!$C$32:$C$33))</f>
        <v>185</v>
      </c>
      <c r="G64" s="60">
        <f>+C64*D64*E64*F64</f>
        <v>0</v>
      </c>
      <c r="J64" s="122" t="e">
        <f>MROUND(SUM(#REF!,#REF!,#REF!,#REF!,#REF!,#REF!,#REF!,#REF!),0.25)</f>
        <v>#REF!</v>
      </c>
      <c r="K64" t="s">
        <v>284</v>
      </c>
    </row>
    <row r="65" spans="1:11" hidden="1" x14ac:dyDescent="0.3">
      <c r="A65" s="27"/>
      <c r="B65" s="27"/>
      <c r="C65" s="182"/>
      <c r="D65" s="182"/>
      <c r="E65" s="63"/>
      <c r="F65" s="38"/>
      <c r="G65" s="61" cm="1">
        <f t="array" ref="G65">SUM(IFERROR(G63:G64,0))</f>
        <v>0</v>
      </c>
    </row>
    <row r="66" spans="1:11" ht="15" hidden="1" thickBot="1" x14ac:dyDescent="0.35">
      <c r="A66" s="273" t="str">
        <f>"Site Address: " &amp; 'PROJECT SUMMARY (Old)'!C27 &amp; " - " &amp; 'PROJECT SUMMARY (Old)'!D27</f>
        <v xml:space="preserve">Site Address:  - </v>
      </c>
      <c r="B66" s="273"/>
      <c r="C66" s="273"/>
      <c r="D66" s="273"/>
      <c r="E66" s="273"/>
      <c r="F66" s="273"/>
      <c r="G66" s="273"/>
      <c r="K66" s="86"/>
    </row>
    <row r="67" spans="1:11" hidden="1" x14ac:dyDescent="0.3">
      <c r="A67" s="40" t="s">
        <v>464</v>
      </c>
      <c r="B67" s="41"/>
      <c r="C67" s="11" t="s">
        <v>16</v>
      </c>
      <c r="D67" s="11" t="s">
        <v>4</v>
      </c>
      <c r="E67" s="11" t="s">
        <v>17</v>
      </c>
      <c r="F67" s="11" t="s">
        <v>6</v>
      </c>
      <c r="G67" s="12" t="s">
        <v>7</v>
      </c>
    </row>
    <row r="68" spans="1:11" hidden="1" x14ac:dyDescent="0.3">
      <c r="A68" s="26" t="s">
        <v>279</v>
      </c>
      <c r="B68" s="27"/>
      <c r="C68" s="42">
        <v>1</v>
      </c>
      <c r="D68" s="42">
        <v>1</v>
      </c>
      <c r="E68" s="64">
        <v>0</v>
      </c>
      <c r="F68" s="44" cm="1">
        <f t="array" ref="F68">_xlfn.XLOOKUP($J$2&amp;$J$4&amp;$J$5,LISTS!$D$14:$D$28&amp;LISTS!$C$14:$C$28&amp;LISTS!$B$14:$B$28,LISTS!$E$14:$E$28)</f>
        <v>340</v>
      </c>
      <c r="G68" s="32">
        <f>+C68*D68*E68*F68</f>
        <v>0</v>
      </c>
      <c r="J68" s="122" t="e">
        <f>MROUND(SUM(#REF!,#REF!,#REF!,#REF!,#REF!),0.25)</f>
        <v>#REF!</v>
      </c>
      <c r="K68" t="s">
        <v>283</v>
      </c>
    </row>
    <row r="69" spans="1:11" ht="15" hidden="1" thickBot="1" x14ac:dyDescent="0.35">
      <c r="A69" s="14" t="s">
        <v>280</v>
      </c>
      <c r="B69" s="15"/>
      <c r="C69" s="58">
        <v>1</v>
      </c>
      <c r="D69" s="58">
        <v>1</v>
      </c>
      <c r="E69" s="65">
        <v>0</v>
      </c>
      <c r="F69" s="59">
        <f>IF(J32="Fire - Liberty Mutual/State Auto",100,_xlfn.XLOOKUP($J$4,LISTS!$B$32:$B$33,LISTS!$C$32:$C$33))</f>
        <v>185</v>
      </c>
      <c r="G69" s="60">
        <f>+C69*D69*E69*F69</f>
        <v>0</v>
      </c>
      <c r="J69" s="122" t="e">
        <f>MROUND(SUM(#REF!,#REF!,#REF!,#REF!,#REF!,#REF!,#REF!,#REF!),0.25)</f>
        <v>#REF!</v>
      </c>
      <c r="K69" t="s">
        <v>284</v>
      </c>
    </row>
    <row r="70" spans="1:11" hidden="1" x14ac:dyDescent="0.3">
      <c r="A70" s="27"/>
      <c r="B70" s="27"/>
      <c r="C70" s="182"/>
      <c r="D70" s="182"/>
      <c r="E70" s="63"/>
      <c r="F70" s="38"/>
      <c r="G70" s="61" cm="1">
        <f t="array" ref="G70">SUM(IFERROR(G68:G69,0))</f>
        <v>0</v>
      </c>
    </row>
    <row r="71" spans="1:11" ht="15" hidden="1" thickBot="1" x14ac:dyDescent="0.35">
      <c r="A71" s="273" t="str">
        <f>"Site Address: " &amp; 'PROJECT SUMMARY (Old)'!C28 &amp; " - " &amp; 'PROJECT SUMMARY (Old)'!D28</f>
        <v xml:space="preserve">Site Address:  - </v>
      </c>
      <c r="B71" s="273"/>
      <c r="C71" s="273"/>
      <c r="D71" s="273"/>
      <c r="E71" s="273"/>
      <c r="F71" s="273"/>
      <c r="G71" s="273"/>
      <c r="K71" s="86"/>
    </row>
    <row r="72" spans="1:11" hidden="1" x14ac:dyDescent="0.3">
      <c r="A72" s="40" t="s">
        <v>464</v>
      </c>
      <c r="B72" s="41"/>
      <c r="C72" s="11" t="s">
        <v>16</v>
      </c>
      <c r="D72" s="11" t="s">
        <v>4</v>
      </c>
      <c r="E72" s="11" t="s">
        <v>17</v>
      </c>
      <c r="F72" s="11" t="s">
        <v>6</v>
      </c>
      <c r="G72" s="12" t="s">
        <v>7</v>
      </c>
    </row>
    <row r="73" spans="1:11" hidden="1" x14ac:dyDescent="0.3">
      <c r="A73" s="26" t="s">
        <v>279</v>
      </c>
      <c r="B73" s="27"/>
      <c r="C73" s="42">
        <v>1</v>
      </c>
      <c r="D73" s="42">
        <v>1</v>
      </c>
      <c r="E73" s="64">
        <v>0</v>
      </c>
      <c r="F73" s="44" cm="1">
        <f t="array" ref="F73">_xlfn.XLOOKUP($J$2&amp;$J$4&amp;$J$5,LISTS!$D$14:$D$28&amp;LISTS!$C$14:$C$28&amp;LISTS!$B$14:$B$28,LISTS!$E$14:$E$28)</f>
        <v>340</v>
      </c>
      <c r="G73" s="32">
        <f>+C73*D73*E73*F73</f>
        <v>0</v>
      </c>
      <c r="J73" s="122" t="e">
        <f>MROUND(SUM(#REF!,#REF!,#REF!,#REF!,#REF!),0.25)</f>
        <v>#REF!</v>
      </c>
      <c r="K73" t="s">
        <v>283</v>
      </c>
    </row>
    <row r="74" spans="1:11" ht="15" hidden="1" thickBot="1" x14ac:dyDescent="0.35">
      <c r="A74" s="14" t="s">
        <v>280</v>
      </c>
      <c r="B74" s="15"/>
      <c r="C74" s="58">
        <v>1</v>
      </c>
      <c r="D74" s="58">
        <v>1</v>
      </c>
      <c r="E74" s="65">
        <v>0</v>
      </c>
      <c r="F74" s="59">
        <f>IF(J37="Fire - Liberty Mutual/State Auto",100,_xlfn.XLOOKUP($J$4,LISTS!$B$32:$B$33,LISTS!$C$32:$C$33))</f>
        <v>185</v>
      </c>
      <c r="G74" s="60">
        <f>+C74*D74*E74*F74</f>
        <v>0</v>
      </c>
      <c r="J74" s="122" t="e">
        <f>MROUND(SUM(#REF!,#REF!,#REF!,#REF!,#REF!,#REF!,#REF!,#REF!),0.25)</f>
        <v>#REF!</v>
      </c>
      <c r="K74" t="s">
        <v>284</v>
      </c>
    </row>
    <row r="75" spans="1:11" hidden="1" x14ac:dyDescent="0.3">
      <c r="A75" s="27"/>
      <c r="B75" s="27"/>
      <c r="C75" s="182"/>
      <c r="D75" s="182"/>
      <c r="E75" s="63"/>
      <c r="F75" s="38"/>
      <c r="G75" s="61" cm="1">
        <f t="array" ref="G75">SUM(IFERROR(G73:G74,0))</f>
        <v>0</v>
      </c>
    </row>
    <row r="76" spans="1:11" ht="15" hidden="1" thickBot="1" x14ac:dyDescent="0.35">
      <c r="A76" s="273" t="str">
        <f>"Site Address: " &amp; 'PROJECT SUMMARY (Old)'!C29 &amp; " - " &amp; 'PROJECT SUMMARY (Old)'!D29</f>
        <v xml:space="preserve">Site Address:  - </v>
      </c>
      <c r="B76" s="273"/>
      <c r="C76" s="273"/>
      <c r="D76" s="273"/>
      <c r="E76" s="273"/>
      <c r="F76" s="273"/>
      <c r="G76" s="273"/>
      <c r="K76" s="86"/>
    </row>
    <row r="77" spans="1:11" hidden="1" x14ac:dyDescent="0.3">
      <c r="A77" s="40" t="s">
        <v>464</v>
      </c>
      <c r="B77" s="41"/>
      <c r="C77" s="11" t="s">
        <v>16</v>
      </c>
      <c r="D77" s="11" t="s">
        <v>4</v>
      </c>
      <c r="E77" s="11" t="s">
        <v>17</v>
      </c>
      <c r="F77" s="11" t="s">
        <v>6</v>
      </c>
      <c r="G77" s="12" t="s">
        <v>7</v>
      </c>
    </row>
    <row r="78" spans="1:11" hidden="1" x14ac:dyDescent="0.3">
      <c r="A78" s="26" t="s">
        <v>279</v>
      </c>
      <c r="B78" s="27"/>
      <c r="C78" s="42">
        <v>1</v>
      </c>
      <c r="D78" s="42">
        <v>1</v>
      </c>
      <c r="E78" s="64">
        <v>0</v>
      </c>
      <c r="F78" s="44" cm="1">
        <f t="array" ref="F78">_xlfn.XLOOKUP($J$2&amp;$J$4&amp;$J$5,LISTS!$D$14:$D$28&amp;LISTS!$C$14:$C$28&amp;LISTS!$B$14:$B$28,LISTS!$E$14:$E$28)</f>
        <v>340</v>
      </c>
      <c r="G78" s="32">
        <f>+C78*D78*E78*F78</f>
        <v>0</v>
      </c>
      <c r="J78" s="122" t="e">
        <f>MROUND(SUM(#REF!,#REF!,#REF!,#REF!,#REF!),0.25)</f>
        <v>#REF!</v>
      </c>
      <c r="K78" t="s">
        <v>283</v>
      </c>
    </row>
    <row r="79" spans="1:11" ht="15" hidden="1" thickBot="1" x14ac:dyDescent="0.35">
      <c r="A79" s="14" t="s">
        <v>280</v>
      </c>
      <c r="B79" s="15"/>
      <c r="C79" s="58">
        <v>1</v>
      </c>
      <c r="D79" s="58">
        <v>1</v>
      </c>
      <c r="E79" s="65">
        <v>0</v>
      </c>
      <c r="F79" s="59">
        <f>IF(J42="Fire - Liberty Mutual/State Auto",100,_xlfn.XLOOKUP($J$4,LISTS!$B$32:$B$33,LISTS!$C$32:$C$33))</f>
        <v>185</v>
      </c>
      <c r="G79" s="60">
        <f>+C79*D79*E79*F79</f>
        <v>0</v>
      </c>
      <c r="J79" s="122" t="e">
        <f>MROUND(SUM(#REF!,#REF!,#REF!,#REF!,#REF!,#REF!,#REF!,#REF!),0.25)</f>
        <v>#REF!</v>
      </c>
      <c r="K79" t="s">
        <v>284</v>
      </c>
    </row>
    <row r="80" spans="1:11" hidden="1" x14ac:dyDescent="0.3">
      <c r="A80" s="27"/>
      <c r="B80" s="27"/>
      <c r="C80" s="182"/>
      <c r="D80" s="182"/>
      <c r="E80" s="63"/>
      <c r="F80" s="38"/>
      <c r="G80" s="61" cm="1">
        <f t="array" ref="G80">SUM(IFERROR(G78:G79,0))</f>
        <v>0</v>
      </c>
    </row>
    <row r="81" spans="1:11" ht="15" hidden="1" thickBot="1" x14ac:dyDescent="0.35">
      <c r="A81" s="273" t="str">
        <f>"Site Address: " &amp; 'PROJECT SUMMARY (Old)'!C30 &amp; " - " &amp; 'PROJECT SUMMARY (Old)'!D30</f>
        <v xml:space="preserve">Site Address:  - </v>
      </c>
      <c r="B81" s="273"/>
      <c r="C81" s="273"/>
      <c r="D81" s="273"/>
      <c r="E81" s="273"/>
      <c r="F81" s="273"/>
      <c r="G81" s="273"/>
      <c r="K81" s="86"/>
    </row>
    <row r="82" spans="1:11" hidden="1" x14ac:dyDescent="0.3">
      <c r="A82" s="40" t="s">
        <v>464</v>
      </c>
      <c r="B82" s="41"/>
      <c r="C82" s="11" t="s">
        <v>16</v>
      </c>
      <c r="D82" s="11" t="s">
        <v>4</v>
      </c>
      <c r="E82" s="11" t="s">
        <v>17</v>
      </c>
      <c r="F82" s="11" t="s">
        <v>6</v>
      </c>
      <c r="G82" s="12" t="s">
        <v>7</v>
      </c>
    </row>
    <row r="83" spans="1:11" hidden="1" x14ac:dyDescent="0.3">
      <c r="A83" s="26" t="s">
        <v>279</v>
      </c>
      <c r="B83" s="27"/>
      <c r="C83" s="42">
        <v>1</v>
      </c>
      <c r="D83" s="42">
        <v>1</v>
      </c>
      <c r="E83" s="64">
        <v>0</v>
      </c>
      <c r="F83" s="44" cm="1">
        <f t="array" ref="F83">_xlfn.XLOOKUP($J$2&amp;$J$4&amp;$J$5,LISTS!$D$14:$D$28&amp;LISTS!$C$14:$C$28&amp;LISTS!$B$14:$B$28,LISTS!$E$14:$E$28)</f>
        <v>340</v>
      </c>
      <c r="G83" s="32">
        <f>+C83*D83*E83*F83</f>
        <v>0</v>
      </c>
      <c r="J83" s="122" t="e">
        <f>MROUND(SUM(#REF!,#REF!,#REF!,#REF!,#REF!),0.25)</f>
        <v>#REF!</v>
      </c>
      <c r="K83" t="s">
        <v>283</v>
      </c>
    </row>
    <row r="84" spans="1:11" ht="15" hidden="1" thickBot="1" x14ac:dyDescent="0.35">
      <c r="A84" s="14" t="s">
        <v>280</v>
      </c>
      <c r="B84" s="15"/>
      <c r="C84" s="58">
        <v>1</v>
      </c>
      <c r="D84" s="58">
        <v>1</v>
      </c>
      <c r="E84" s="65">
        <v>0</v>
      </c>
      <c r="F84" s="59">
        <f>IF(J47="Fire - Liberty Mutual/State Auto",100,_xlfn.XLOOKUP($J$4,LISTS!$B$32:$B$33,LISTS!$C$32:$C$33))</f>
        <v>185</v>
      </c>
      <c r="G84" s="60">
        <f>+C84*D84*E84*F84</f>
        <v>0</v>
      </c>
      <c r="J84" s="122" t="e">
        <f>MROUND(SUM(#REF!,#REF!,#REF!,#REF!,#REF!,#REF!,#REF!,#REF!),0.25)</f>
        <v>#REF!</v>
      </c>
      <c r="K84" t="s">
        <v>284</v>
      </c>
    </row>
    <row r="85" spans="1:11" hidden="1" x14ac:dyDescent="0.3">
      <c r="A85" s="27"/>
      <c r="B85" s="27"/>
      <c r="C85" s="182"/>
      <c r="D85" s="182"/>
      <c r="E85" s="63"/>
      <c r="F85" s="38"/>
      <c r="G85" s="61" cm="1">
        <f t="array" ref="G85">SUM(IFERROR(G83:G84,0))</f>
        <v>0</v>
      </c>
    </row>
    <row r="86" spans="1:11" ht="15" hidden="1" thickBot="1" x14ac:dyDescent="0.35">
      <c r="A86" s="273" t="str">
        <f>"Site Address: " &amp; 'PROJECT SUMMARY (Old)'!C31 &amp; " - " &amp; 'PROJECT SUMMARY (Old)'!D31</f>
        <v xml:space="preserve">Site Address:  - </v>
      </c>
      <c r="B86" s="273"/>
      <c r="C86" s="273"/>
      <c r="D86" s="273"/>
      <c r="E86" s="273"/>
      <c r="F86" s="273"/>
      <c r="G86" s="273"/>
      <c r="K86" s="86"/>
    </row>
    <row r="87" spans="1:11" hidden="1" x14ac:dyDescent="0.3">
      <c r="A87" s="40" t="s">
        <v>464</v>
      </c>
      <c r="B87" s="41"/>
      <c r="C87" s="11" t="s">
        <v>16</v>
      </c>
      <c r="D87" s="11" t="s">
        <v>4</v>
      </c>
      <c r="E87" s="11" t="s">
        <v>17</v>
      </c>
      <c r="F87" s="11" t="s">
        <v>6</v>
      </c>
      <c r="G87" s="12" t="s">
        <v>7</v>
      </c>
    </row>
    <row r="88" spans="1:11" hidden="1" x14ac:dyDescent="0.3">
      <c r="A88" s="26" t="s">
        <v>279</v>
      </c>
      <c r="B88" s="27"/>
      <c r="C88" s="42">
        <v>1</v>
      </c>
      <c r="D88" s="42">
        <v>1</v>
      </c>
      <c r="E88" s="64">
        <v>0</v>
      </c>
      <c r="F88" s="44" cm="1">
        <f t="array" ref="F88">_xlfn.XLOOKUP($J$2&amp;$J$4&amp;$J$5,LISTS!$D$14:$D$28&amp;LISTS!$C$14:$C$28&amp;LISTS!$B$14:$B$28,LISTS!$E$14:$E$28)</f>
        <v>340</v>
      </c>
      <c r="G88" s="32">
        <f>+C88*D88*E88*F88</f>
        <v>0</v>
      </c>
      <c r="J88" s="122" t="e">
        <f>MROUND(SUM(#REF!,#REF!,#REF!,#REF!,#REF!),0.25)</f>
        <v>#REF!</v>
      </c>
      <c r="K88" t="s">
        <v>283</v>
      </c>
    </row>
    <row r="89" spans="1:11" ht="15" hidden="1" thickBot="1" x14ac:dyDescent="0.35">
      <c r="A89" s="14" t="s">
        <v>280</v>
      </c>
      <c r="B89" s="15"/>
      <c r="C89" s="58">
        <v>1</v>
      </c>
      <c r="D89" s="58">
        <v>1</v>
      </c>
      <c r="E89" s="65">
        <v>0</v>
      </c>
      <c r="F89" s="59">
        <f>IF(J52="Fire - Liberty Mutual/State Auto",100,_xlfn.XLOOKUP($J$4,LISTS!$B$32:$B$33,LISTS!$C$32:$C$33))</f>
        <v>185</v>
      </c>
      <c r="G89" s="60">
        <f>+C89*D89*E89*F89</f>
        <v>0</v>
      </c>
      <c r="J89" s="122" t="e">
        <f>MROUND(SUM(#REF!,#REF!,#REF!,#REF!,#REF!,#REF!,#REF!,#REF!),0.25)</f>
        <v>#REF!</v>
      </c>
      <c r="K89" t="s">
        <v>284</v>
      </c>
    </row>
    <row r="90" spans="1:11" hidden="1" x14ac:dyDescent="0.3">
      <c r="A90" s="27"/>
      <c r="B90" s="27"/>
      <c r="C90" s="182"/>
      <c r="D90" s="182"/>
      <c r="E90" s="63"/>
      <c r="F90" s="38"/>
      <c r="G90" s="61" cm="1">
        <f t="array" ref="G90">SUM(IFERROR(G88:G89,0))</f>
        <v>0</v>
      </c>
    </row>
    <row r="91" spans="1:11" ht="15" hidden="1" thickBot="1" x14ac:dyDescent="0.35">
      <c r="A91" s="273" t="str">
        <f>"Site Address: " &amp; 'PROJECT SUMMARY (Old)'!C32 &amp; " - " &amp; 'PROJECT SUMMARY (Old)'!D32</f>
        <v xml:space="preserve">Site Address:  - </v>
      </c>
      <c r="B91" s="273"/>
      <c r="C91" s="273"/>
      <c r="D91" s="273"/>
      <c r="E91" s="273"/>
      <c r="F91" s="273"/>
      <c r="G91" s="273"/>
      <c r="K91" s="86"/>
    </row>
    <row r="92" spans="1:11" hidden="1" x14ac:dyDescent="0.3">
      <c r="A92" s="40" t="s">
        <v>464</v>
      </c>
      <c r="B92" s="41"/>
      <c r="C92" s="11" t="s">
        <v>16</v>
      </c>
      <c r="D92" s="11" t="s">
        <v>4</v>
      </c>
      <c r="E92" s="11" t="s">
        <v>17</v>
      </c>
      <c r="F92" s="11" t="s">
        <v>6</v>
      </c>
      <c r="G92" s="12" t="s">
        <v>7</v>
      </c>
    </row>
    <row r="93" spans="1:11" hidden="1" x14ac:dyDescent="0.3">
      <c r="A93" s="26" t="s">
        <v>279</v>
      </c>
      <c r="B93" s="27"/>
      <c r="C93" s="42">
        <v>1</v>
      </c>
      <c r="D93" s="42">
        <v>1</v>
      </c>
      <c r="E93" s="64">
        <v>0</v>
      </c>
      <c r="F93" s="44" cm="1">
        <f t="array" ref="F93">_xlfn.XLOOKUP($J$2&amp;$J$4&amp;$J$5,LISTS!$D$14:$D$28&amp;LISTS!$C$14:$C$28&amp;LISTS!$B$14:$B$28,LISTS!$E$14:$E$28)</f>
        <v>340</v>
      </c>
      <c r="G93" s="32">
        <f>+C93*D93*E93*F93</f>
        <v>0</v>
      </c>
      <c r="J93" s="122" t="e">
        <f>MROUND(SUM(#REF!,#REF!,#REF!,#REF!,#REF!),0.25)</f>
        <v>#REF!</v>
      </c>
      <c r="K93" t="s">
        <v>283</v>
      </c>
    </row>
    <row r="94" spans="1:11" ht="15" hidden="1" thickBot="1" x14ac:dyDescent="0.35">
      <c r="A94" s="14" t="s">
        <v>280</v>
      </c>
      <c r="B94" s="15"/>
      <c r="C94" s="58">
        <v>1</v>
      </c>
      <c r="D94" s="58">
        <v>1</v>
      </c>
      <c r="E94" s="65">
        <v>0</v>
      </c>
      <c r="F94" s="59">
        <f>IF(J57="Fire - Liberty Mutual/State Auto",100,_xlfn.XLOOKUP($J$4,LISTS!$B$32:$B$33,LISTS!$C$32:$C$33))</f>
        <v>185</v>
      </c>
      <c r="G94" s="60">
        <f>+C94*D94*E94*F94</f>
        <v>0</v>
      </c>
      <c r="J94" s="122" t="e">
        <f>MROUND(SUM(#REF!,#REF!,#REF!,#REF!,#REF!,#REF!,#REF!,#REF!),0.25)</f>
        <v>#REF!</v>
      </c>
      <c r="K94" t="s">
        <v>284</v>
      </c>
    </row>
    <row r="95" spans="1:11" hidden="1" x14ac:dyDescent="0.3">
      <c r="A95" s="27"/>
      <c r="B95" s="27"/>
      <c r="C95" s="182"/>
      <c r="D95" s="182"/>
      <c r="E95" s="63"/>
      <c r="F95" s="38"/>
      <c r="G95" s="61" cm="1">
        <f t="array" ref="G95">SUM(IFERROR(G93:G94,0))</f>
        <v>0</v>
      </c>
    </row>
    <row r="96" spans="1:11" ht="15" hidden="1" thickBot="1" x14ac:dyDescent="0.35">
      <c r="A96" s="273" t="str">
        <f>"Site Address: " &amp; 'PROJECT SUMMARY (Old)'!C33 &amp; " - " &amp; 'PROJECT SUMMARY (Old)'!D33</f>
        <v xml:space="preserve">Site Address:  - </v>
      </c>
      <c r="B96" s="273"/>
      <c r="C96" s="273"/>
      <c r="D96" s="273"/>
      <c r="E96" s="273"/>
      <c r="F96" s="273"/>
      <c r="G96" s="273"/>
      <c r="K96" s="86"/>
    </row>
    <row r="97" spans="1:11" hidden="1" x14ac:dyDescent="0.3">
      <c r="A97" s="40" t="s">
        <v>464</v>
      </c>
      <c r="B97" s="41"/>
      <c r="C97" s="11" t="s">
        <v>16</v>
      </c>
      <c r="D97" s="11" t="s">
        <v>4</v>
      </c>
      <c r="E97" s="11" t="s">
        <v>17</v>
      </c>
      <c r="F97" s="11" t="s">
        <v>6</v>
      </c>
      <c r="G97" s="12" t="s">
        <v>7</v>
      </c>
    </row>
    <row r="98" spans="1:11" hidden="1" x14ac:dyDescent="0.3">
      <c r="A98" s="26" t="s">
        <v>279</v>
      </c>
      <c r="B98" s="27"/>
      <c r="C98" s="42">
        <v>1</v>
      </c>
      <c r="D98" s="42">
        <v>1</v>
      </c>
      <c r="E98" s="64">
        <v>0</v>
      </c>
      <c r="F98" s="44" cm="1">
        <f t="array" ref="F98">_xlfn.XLOOKUP($J$2&amp;$J$4&amp;$J$5,LISTS!$D$14:$D$28&amp;LISTS!$C$14:$C$28&amp;LISTS!$B$14:$B$28,LISTS!$E$14:$E$28)</f>
        <v>340</v>
      </c>
      <c r="G98" s="32">
        <f>+C98*D98*E98*F98</f>
        <v>0</v>
      </c>
      <c r="J98" s="122" t="e">
        <f>MROUND(SUM(#REF!,#REF!,#REF!,#REF!,#REF!),0.25)</f>
        <v>#REF!</v>
      </c>
      <c r="K98" t="s">
        <v>283</v>
      </c>
    </row>
    <row r="99" spans="1:11" ht="15" hidden="1" thickBot="1" x14ac:dyDescent="0.35">
      <c r="A99" s="14" t="s">
        <v>280</v>
      </c>
      <c r="B99" s="15"/>
      <c r="C99" s="58">
        <v>1</v>
      </c>
      <c r="D99" s="58">
        <v>1</v>
      </c>
      <c r="E99" s="65">
        <v>0</v>
      </c>
      <c r="F99" s="59">
        <f>IF(J62="Fire - Liberty Mutual/State Auto",100,_xlfn.XLOOKUP($J$4,LISTS!$B$32:$B$33,LISTS!$C$32:$C$33))</f>
        <v>185</v>
      </c>
      <c r="G99" s="60">
        <f>+C99*D99*E99*F99</f>
        <v>0</v>
      </c>
      <c r="J99" s="122" t="e">
        <f>MROUND(SUM(#REF!,#REF!,#REF!,#REF!,#REF!,#REF!,#REF!,#REF!),0.25)</f>
        <v>#REF!</v>
      </c>
      <c r="K99" t="s">
        <v>284</v>
      </c>
    </row>
    <row r="100" spans="1:11" hidden="1" x14ac:dyDescent="0.3">
      <c r="A100" s="27"/>
      <c r="B100" s="27"/>
      <c r="C100" s="182"/>
      <c r="D100" s="182"/>
      <c r="E100" s="63"/>
      <c r="F100" s="38"/>
      <c r="G100" s="61" cm="1">
        <f t="array" ref="G100">SUM(IFERROR(G98:G99,0))</f>
        <v>0</v>
      </c>
    </row>
    <row r="101" spans="1:11" ht="15" hidden="1" thickBot="1" x14ac:dyDescent="0.35">
      <c r="A101" s="273" t="str">
        <f>"Site Address: " &amp; 'PROJECT SUMMARY (Old)'!C34 &amp; " - " &amp; 'PROJECT SUMMARY (Old)'!D34</f>
        <v xml:space="preserve">Site Address:  - </v>
      </c>
      <c r="B101" s="273"/>
      <c r="C101" s="273"/>
      <c r="D101" s="273"/>
      <c r="E101" s="273"/>
      <c r="F101" s="273"/>
      <c r="G101" s="273"/>
      <c r="K101" s="86"/>
    </row>
    <row r="102" spans="1:11" hidden="1" x14ac:dyDescent="0.3">
      <c r="A102" s="40" t="s">
        <v>464</v>
      </c>
      <c r="B102" s="41"/>
      <c r="C102" s="11" t="s">
        <v>16</v>
      </c>
      <c r="D102" s="11" t="s">
        <v>4</v>
      </c>
      <c r="E102" s="11" t="s">
        <v>17</v>
      </c>
      <c r="F102" s="11" t="s">
        <v>6</v>
      </c>
      <c r="G102" s="12" t="s">
        <v>7</v>
      </c>
    </row>
    <row r="103" spans="1:11" hidden="1" x14ac:dyDescent="0.3">
      <c r="A103" s="26" t="s">
        <v>279</v>
      </c>
      <c r="B103" s="27"/>
      <c r="C103" s="42">
        <v>1</v>
      </c>
      <c r="D103" s="42">
        <v>1</v>
      </c>
      <c r="E103" s="64">
        <v>0</v>
      </c>
      <c r="F103" s="44" cm="1">
        <f t="array" ref="F103">_xlfn.XLOOKUP($J$2&amp;$J$4&amp;$J$5,LISTS!$D$14:$D$28&amp;LISTS!$C$14:$C$28&amp;LISTS!$B$14:$B$28,LISTS!$E$14:$E$28)</f>
        <v>340</v>
      </c>
      <c r="G103" s="32">
        <f>+C103*D103*E103*F103</f>
        <v>0</v>
      </c>
      <c r="J103" s="122" t="e">
        <f>MROUND(SUM(#REF!,#REF!,#REF!,#REF!,#REF!),0.25)</f>
        <v>#REF!</v>
      </c>
      <c r="K103" t="s">
        <v>283</v>
      </c>
    </row>
    <row r="104" spans="1:11" ht="15" hidden="1" thickBot="1" x14ac:dyDescent="0.35">
      <c r="A104" s="14" t="s">
        <v>280</v>
      </c>
      <c r="B104" s="15"/>
      <c r="C104" s="58">
        <v>1</v>
      </c>
      <c r="D104" s="58">
        <v>1</v>
      </c>
      <c r="E104" s="65">
        <v>0</v>
      </c>
      <c r="F104" s="59">
        <f>IF(J67="Fire - Liberty Mutual/State Auto",100,_xlfn.XLOOKUP($J$4,LISTS!$B$32:$B$33,LISTS!$C$32:$C$33))</f>
        <v>185</v>
      </c>
      <c r="G104" s="60">
        <f>+C104*D104*E104*F104</f>
        <v>0</v>
      </c>
      <c r="J104" s="122" t="e">
        <f>MROUND(SUM(#REF!,#REF!,#REF!,#REF!,#REF!,#REF!,#REF!,#REF!),0.25)</f>
        <v>#REF!</v>
      </c>
      <c r="K104" t="s">
        <v>284</v>
      </c>
    </row>
    <row r="105" spans="1:11" hidden="1" x14ac:dyDescent="0.3">
      <c r="A105" s="27"/>
      <c r="B105" s="27"/>
      <c r="C105" s="182"/>
      <c r="D105" s="182"/>
      <c r="E105" s="63"/>
      <c r="F105" s="38"/>
      <c r="G105" s="61" cm="1">
        <f t="array" ref="G105">SUM(IFERROR(G103:G104,0))</f>
        <v>0</v>
      </c>
    </row>
    <row r="106" spans="1:11" ht="15" hidden="1" thickBot="1" x14ac:dyDescent="0.35">
      <c r="A106" s="273" t="str">
        <f>"Site Address: " &amp; 'PROJECT SUMMARY (Old)'!C35 &amp; " - " &amp; 'PROJECT SUMMARY (Old)'!D35</f>
        <v xml:space="preserve">Site Address:  - </v>
      </c>
      <c r="B106" s="273"/>
      <c r="C106" s="273"/>
      <c r="D106" s="273"/>
      <c r="E106" s="273"/>
      <c r="F106" s="273"/>
      <c r="G106" s="273"/>
      <c r="K106" s="86"/>
    </row>
    <row r="107" spans="1:11" hidden="1" x14ac:dyDescent="0.3">
      <c r="A107" s="40" t="s">
        <v>464</v>
      </c>
      <c r="B107" s="41"/>
      <c r="C107" s="11" t="s">
        <v>16</v>
      </c>
      <c r="D107" s="11" t="s">
        <v>4</v>
      </c>
      <c r="E107" s="11" t="s">
        <v>17</v>
      </c>
      <c r="F107" s="11" t="s">
        <v>6</v>
      </c>
      <c r="G107" s="12" t="s">
        <v>7</v>
      </c>
    </row>
    <row r="108" spans="1:11" hidden="1" x14ac:dyDescent="0.3">
      <c r="A108" s="26" t="s">
        <v>279</v>
      </c>
      <c r="B108" s="27"/>
      <c r="C108" s="42">
        <v>1</v>
      </c>
      <c r="D108" s="42">
        <v>1</v>
      </c>
      <c r="E108" s="64">
        <v>0</v>
      </c>
      <c r="F108" s="44" cm="1">
        <f t="array" ref="F108">_xlfn.XLOOKUP($J$2&amp;$J$4&amp;$J$5,LISTS!$D$14:$D$28&amp;LISTS!$C$14:$C$28&amp;LISTS!$B$14:$B$28,LISTS!$E$14:$E$28)</f>
        <v>340</v>
      </c>
      <c r="G108" s="32">
        <f>+C108*D108*E108*F108</f>
        <v>0</v>
      </c>
      <c r="J108" s="122" t="e">
        <f>MROUND(SUM(#REF!,#REF!,#REF!,#REF!,#REF!),0.25)</f>
        <v>#REF!</v>
      </c>
      <c r="K108" t="s">
        <v>283</v>
      </c>
    </row>
    <row r="109" spans="1:11" ht="15" hidden="1" thickBot="1" x14ac:dyDescent="0.35">
      <c r="A109" s="14" t="s">
        <v>280</v>
      </c>
      <c r="B109" s="15"/>
      <c r="C109" s="58">
        <v>1</v>
      </c>
      <c r="D109" s="58">
        <v>1</v>
      </c>
      <c r="E109" s="65">
        <v>0</v>
      </c>
      <c r="F109" s="59">
        <f>IF(J72="Fire - Liberty Mutual/State Auto",100,_xlfn.XLOOKUP($J$4,LISTS!$B$32:$B$33,LISTS!$C$32:$C$33))</f>
        <v>185</v>
      </c>
      <c r="G109" s="60">
        <f>+C109*D109*E109*F109</f>
        <v>0</v>
      </c>
      <c r="J109" s="122" t="e">
        <f>MROUND(SUM(#REF!,#REF!,#REF!,#REF!,#REF!,#REF!,#REF!,#REF!),0.25)</f>
        <v>#REF!</v>
      </c>
      <c r="K109" t="s">
        <v>284</v>
      </c>
    </row>
    <row r="110" spans="1:11" hidden="1" x14ac:dyDescent="0.3">
      <c r="A110" s="27"/>
      <c r="B110" s="27"/>
      <c r="C110" s="182"/>
      <c r="D110" s="182"/>
      <c r="E110" s="63"/>
      <c r="F110" s="38"/>
      <c r="G110" s="61" cm="1">
        <f t="array" ref="G110">SUM(IFERROR(G108:G109,0))</f>
        <v>0</v>
      </c>
    </row>
    <row r="111" spans="1:11" ht="15" hidden="1" thickBot="1" x14ac:dyDescent="0.35">
      <c r="A111" s="273" t="str">
        <f>"Site Address: " &amp; 'PROJECT SUMMARY (Old)'!C36 &amp; " - " &amp; 'PROJECT SUMMARY (Old)'!D36</f>
        <v xml:space="preserve">Site Address:  - </v>
      </c>
      <c r="B111" s="273"/>
      <c r="C111" s="273"/>
      <c r="D111" s="273"/>
      <c r="E111" s="273"/>
      <c r="F111" s="273"/>
      <c r="G111" s="273"/>
      <c r="K111" s="86"/>
    </row>
    <row r="112" spans="1:11" hidden="1" x14ac:dyDescent="0.3">
      <c r="A112" s="40" t="s">
        <v>464</v>
      </c>
      <c r="B112" s="41"/>
      <c r="C112" s="11" t="s">
        <v>16</v>
      </c>
      <c r="D112" s="11" t="s">
        <v>4</v>
      </c>
      <c r="E112" s="11" t="s">
        <v>17</v>
      </c>
      <c r="F112" s="11" t="s">
        <v>6</v>
      </c>
      <c r="G112" s="12" t="s">
        <v>7</v>
      </c>
    </row>
    <row r="113" spans="1:11" hidden="1" x14ac:dyDescent="0.3">
      <c r="A113" s="26" t="s">
        <v>279</v>
      </c>
      <c r="B113" s="27"/>
      <c r="C113" s="42">
        <v>1</v>
      </c>
      <c r="D113" s="42">
        <v>1</v>
      </c>
      <c r="E113" s="64">
        <v>0</v>
      </c>
      <c r="F113" s="44" cm="1">
        <f t="array" ref="F113">_xlfn.XLOOKUP($J$2&amp;$J$4&amp;$J$5,LISTS!$D$14:$D$28&amp;LISTS!$C$14:$C$28&amp;LISTS!$B$14:$B$28,LISTS!$E$14:$E$28)</f>
        <v>340</v>
      </c>
      <c r="G113" s="32">
        <f>+C113*D113*E113*F113</f>
        <v>0</v>
      </c>
      <c r="J113" s="122" t="e">
        <f>MROUND(SUM(#REF!,#REF!,#REF!,#REF!,#REF!),0.25)</f>
        <v>#REF!</v>
      </c>
      <c r="K113" t="s">
        <v>283</v>
      </c>
    </row>
    <row r="114" spans="1:11" ht="15" hidden="1" thickBot="1" x14ac:dyDescent="0.35">
      <c r="A114" s="14" t="s">
        <v>280</v>
      </c>
      <c r="B114" s="15"/>
      <c r="C114" s="58">
        <v>1</v>
      </c>
      <c r="D114" s="58">
        <v>1</v>
      </c>
      <c r="E114" s="65">
        <v>0</v>
      </c>
      <c r="F114" s="59">
        <f>IF(J77="Fire - Liberty Mutual/State Auto",100,_xlfn.XLOOKUP($J$4,LISTS!$B$32:$B$33,LISTS!$C$32:$C$33))</f>
        <v>185</v>
      </c>
      <c r="G114" s="60">
        <f>+C114*D114*E114*F114</f>
        <v>0</v>
      </c>
      <c r="J114" s="122" t="e">
        <f>MROUND(SUM(#REF!,#REF!,#REF!,#REF!,#REF!,#REF!,#REF!,#REF!),0.25)</f>
        <v>#REF!</v>
      </c>
      <c r="K114" t="s">
        <v>284</v>
      </c>
    </row>
    <row r="115" spans="1:11" hidden="1" x14ac:dyDescent="0.3">
      <c r="A115" s="27"/>
      <c r="B115" s="27"/>
      <c r="C115" s="182"/>
      <c r="D115" s="182"/>
      <c r="E115" s="63"/>
      <c r="F115" s="38"/>
      <c r="G115" s="61" cm="1">
        <f t="array" ref="G115">SUM(IFERROR(G113:G114,0))</f>
        <v>0</v>
      </c>
    </row>
    <row r="116" spans="1:11" ht="15" hidden="1" thickBot="1" x14ac:dyDescent="0.35">
      <c r="A116" s="273" t="str">
        <f>"Site Address: " &amp; 'PROJECT SUMMARY (Old)'!C37 &amp; " - " &amp; 'PROJECT SUMMARY (Old)'!D37</f>
        <v xml:space="preserve">Site Address:  - </v>
      </c>
      <c r="B116" s="273"/>
      <c r="C116" s="273"/>
      <c r="D116" s="273"/>
      <c r="E116" s="273"/>
      <c r="F116" s="273"/>
      <c r="G116" s="273"/>
      <c r="K116" s="86"/>
    </row>
    <row r="117" spans="1:11" hidden="1" x14ac:dyDescent="0.3">
      <c r="A117" s="40" t="s">
        <v>464</v>
      </c>
      <c r="B117" s="41"/>
      <c r="C117" s="11" t="s">
        <v>16</v>
      </c>
      <c r="D117" s="11" t="s">
        <v>4</v>
      </c>
      <c r="E117" s="11" t="s">
        <v>17</v>
      </c>
      <c r="F117" s="11" t="s">
        <v>6</v>
      </c>
      <c r="G117" s="12" t="s">
        <v>7</v>
      </c>
    </row>
    <row r="118" spans="1:11" hidden="1" x14ac:dyDescent="0.3">
      <c r="A118" s="26" t="s">
        <v>279</v>
      </c>
      <c r="B118" s="27"/>
      <c r="C118" s="42">
        <v>1</v>
      </c>
      <c r="D118" s="42">
        <v>1</v>
      </c>
      <c r="E118" s="64">
        <v>0</v>
      </c>
      <c r="F118" s="44" cm="1">
        <f t="array" ref="F118">_xlfn.XLOOKUP($J$2&amp;$J$4&amp;$J$5,LISTS!$D$14:$D$28&amp;LISTS!$C$14:$C$28&amp;LISTS!$B$14:$B$28,LISTS!$E$14:$E$28)</f>
        <v>340</v>
      </c>
      <c r="G118" s="32">
        <f>+C118*D118*E118*F118</f>
        <v>0</v>
      </c>
      <c r="J118" s="122" t="e">
        <f>MROUND(SUM(#REF!,#REF!,#REF!,#REF!,#REF!),0.25)</f>
        <v>#REF!</v>
      </c>
      <c r="K118" t="s">
        <v>283</v>
      </c>
    </row>
    <row r="119" spans="1:11" ht="15" hidden="1" thickBot="1" x14ac:dyDescent="0.35">
      <c r="A119" s="14" t="s">
        <v>280</v>
      </c>
      <c r="B119" s="15"/>
      <c r="C119" s="58">
        <v>1</v>
      </c>
      <c r="D119" s="58">
        <v>1</v>
      </c>
      <c r="E119" s="65">
        <v>0</v>
      </c>
      <c r="F119" s="59">
        <f>IF(J82="Fire - Liberty Mutual/State Auto",100,_xlfn.XLOOKUP($J$4,LISTS!$B$32:$B$33,LISTS!$C$32:$C$33))</f>
        <v>185</v>
      </c>
      <c r="G119" s="60">
        <f>+C119*D119*E119*F119</f>
        <v>0</v>
      </c>
      <c r="J119" s="122" t="e">
        <f>MROUND(SUM(#REF!,#REF!,#REF!,#REF!,#REF!,#REF!,#REF!,#REF!),0.25)</f>
        <v>#REF!</v>
      </c>
      <c r="K119" t="s">
        <v>284</v>
      </c>
    </row>
    <row r="120" spans="1:11" hidden="1" x14ac:dyDescent="0.3">
      <c r="A120" s="27"/>
      <c r="B120" s="27"/>
      <c r="C120" s="182"/>
      <c r="D120" s="182"/>
      <c r="E120" s="63"/>
      <c r="F120" s="38"/>
      <c r="G120" s="61" cm="1">
        <f t="array" ref="G120">SUM(IFERROR(G118:G119,0))</f>
        <v>0</v>
      </c>
    </row>
    <row r="121" spans="1:11" ht="15" hidden="1" thickBot="1" x14ac:dyDescent="0.35">
      <c r="A121" s="273" t="str">
        <f>"Site Address: " &amp; 'PROJECT SUMMARY (Old)'!C38 &amp; " - " &amp; 'PROJECT SUMMARY (Old)'!D38</f>
        <v xml:space="preserve">Site Address:  - </v>
      </c>
      <c r="B121" s="273"/>
      <c r="C121" s="273"/>
      <c r="D121" s="273"/>
      <c r="E121" s="273"/>
      <c r="F121" s="273"/>
      <c r="G121" s="273"/>
      <c r="K121" s="86"/>
    </row>
    <row r="122" spans="1:11" hidden="1" x14ac:dyDescent="0.3">
      <c r="A122" s="40" t="s">
        <v>464</v>
      </c>
      <c r="B122" s="41"/>
      <c r="C122" s="11" t="s">
        <v>16</v>
      </c>
      <c r="D122" s="11" t="s">
        <v>4</v>
      </c>
      <c r="E122" s="11" t="s">
        <v>17</v>
      </c>
      <c r="F122" s="11" t="s">
        <v>6</v>
      </c>
      <c r="G122" s="12" t="s">
        <v>7</v>
      </c>
    </row>
    <row r="123" spans="1:11" hidden="1" x14ac:dyDescent="0.3">
      <c r="A123" s="26" t="s">
        <v>279</v>
      </c>
      <c r="B123" s="27"/>
      <c r="C123" s="42">
        <v>1</v>
      </c>
      <c r="D123" s="42">
        <v>1</v>
      </c>
      <c r="E123" s="64">
        <v>0</v>
      </c>
      <c r="F123" s="44" cm="1">
        <f t="array" ref="F123">_xlfn.XLOOKUP($J$2&amp;$J$4&amp;$J$5,LISTS!$D$14:$D$28&amp;LISTS!$C$14:$C$28&amp;LISTS!$B$14:$B$28,LISTS!$E$14:$E$28)</f>
        <v>340</v>
      </c>
      <c r="G123" s="32">
        <f>+C123*D123*E123*F123</f>
        <v>0</v>
      </c>
      <c r="J123" s="122" t="e">
        <f>MROUND(SUM(#REF!,#REF!,#REF!,#REF!,#REF!),0.25)</f>
        <v>#REF!</v>
      </c>
      <c r="K123" t="s">
        <v>283</v>
      </c>
    </row>
    <row r="124" spans="1:11" ht="15" hidden="1" thickBot="1" x14ac:dyDescent="0.35">
      <c r="A124" s="14" t="s">
        <v>280</v>
      </c>
      <c r="B124" s="15"/>
      <c r="C124" s="58">
        <v>1</v>
      </c>
      <c r="D124" s="58">
        <v>1</v>
      </c>
      <c r="E124" s="65">
        <v>0</v>
      </c>
      <c r="F124" s="59">
        <f>IF(J87="Fire - Liberty Mutual/State Auto",100,_xlfn.XLOOKUP($J$4,LISTS!$B$32:$B$33,LISTS!$C$32:$C$33))</f>
        <v>185</v>
      </c>
      <c r="G124" s="60">
        <f>+C124*D124*E124*F124</f>
        <v>0</v>
      </c>
      <c r="J124" s="122" t="e">
        <f>MROUND(SUM(#REF!,#REF!,#REF!,#REF!,#REF!,#REF!,#REF!,#REF!),0.25)</f>
        <v>#REF!</v>
      </c>
      <c r="K124" t="s">
        <v>284</v>
      </c>
    </row>
    <row r="125" spans="1:11" hidden="1" x14ac:dyDescent="0.3">
      <c r="A125" s="27"/>
      <c r="B125" s="27"/>
      <c r="C125" s="182"/>
      <c r="D125" s="182"/>
      <c r="E125" s="63"/>
      <c r="F125" s="38"/>
      <c r="G125" s="61" cm="1">
        <f t="array" ref="G125">SUM(IFERROR(G123:G124,0))</f>
        <v>0</v>
      </c>
    </row>
    <row r="126" spans="1:11" ht="15" hidden="1" thickBot="1" x14ac:dyDescent="0.35">
      <c r="A126" s="273" t="str">
        <f>"Site Address: " &amp; 'PROJECT SUMMARY (Old)'!C39 &amp; " - " &amp; 'PROJECT SUMMARY (Old)'!D39</f>
        <v xml:space="preserve">Site Address:  - </v>
      </c>
      <c r="B126" s="273"/>
      <c r="C126" s="273"/>
      <c r="D126" s="273"/>
      <c r="E126" s="273"/>
      <c r="F126" s="273"/>
      <c r="G126" s="273"/>
      <c r="K126" s="86"/>
    </row>
    <row r="127" spans="1:11" hidden="1" x14ac:dyDescent="0.3">
      <c r="A127" s="40" t="s">
        <v>464</v>
      </c>
      <c r="B127" s="41"/>
      <c r="C127" s="11" t="s">
        <v>16</v>
      </c>
      <c r="D127" s="11" t="s">
        <v>4</v>
      </c>
      <c r="E127" s="11" t="s">
        <v>17</v>
      </c>
      <c r="F127" s="11" t="s">
        <v>6</v>
      </c>
      <c r="G127" s="12" t="s">
        <v>7</v>
      </c>
    </row>
    <row r="128" spans="1:11" hidden="1" x14ac:dyDescent="0.3">
      <c r="A128" s="26" t="s">
        <v>279</v>
      </c>
      <c r="B128" s="27"/>
      <c r="C128" s="42">
        <v>1</v>
      </c>
      <c r="D128" s="42">
        <v>1</v>
      </c>
      <c r="E128" s="64">
        <v>0</v>
      </c>
      <c r="F128" s="44" cm="1">
        <f t="array" ref="F128">_xlfn.XLOOKUP($J$2&amp;$J$4&amp;$J$5,LISTS!$D$14:$D$28&amp;LISTS!$C$14:$C$28&amp;LISTS!$B$14:$B$28,LISTS!$E$14:$E$28)</f>
        <v>340</v>
      </c>
      <c r="G128" s="32">
        <f>+C128*D128*E128*F128</f>
        <v>0</v>
      </c>
      <c r="J128" s="122" t="e">
        <f>MROUND(SUM(#REF!,#REF!,#REF!,#REF!,#REF!),0.25)</f>
        <v>#REF!</v>
      </c>
      <c r="K128" t="s">
        <v>283</v>
      </c>
    </row>
    <row r="129" spans="1:11" ht="15" hidden="1" thickBot="1" x14ac:dyDescent="0.35">
      <c r="A129" s="14" t="s">
        <v>280</v>
      </c>
      <c r="B129" s="15"/>
      <c r="C129" s="58">
        <v>1</v>
      </c>
      <c r="D129" s="58">
        <v>1</v>
      </c>
      <c r="E129" s="65">
        <v>0</v>
      </c>
      <c r="F129" s="59">
        <f>IF(J92="Fire - Liberty Mutual/State Auto",100,_xlfn.XLOOKUP($J$4,LISTS!$B$32:$B$33,LISTS!$C$32:$C$33))</f>
        <v>185</v>
      </c>
      <c r="G129" s="60">
        <f>+C129*D129*E129*F129</f>
        <v>0</v>
      </c>
      <c r="J129" s="122" t="e">
        <f>MROUND(SUM(#REF!,#REF!,#REF!,#REF!,#REF!,#REF!,#REF!,#REF!),0.25)</f>
        <v>#REF!</v>
      </c>
      <c r="K129" t="s">
        <v>284</v>
      </c>
    </row>
    <row r="130" spans="1:11" hidden="1" x14ac:dyDescent="0.3">
      <c r="A130" s="27"/>
      <c r="B130" s="27"/>
      <c r="C130" s="182"/>
      <c r="D130" s="182"/>
      <c r="E130" s="63"/>
      <c r="F130" s="38"/>
      <c r="G130" s="61" cm="1">
        <f t="array" ref="G130">SUM(IFERROR(G128:G129,0))</f>
        <v>0</v>
      </c>
    </row>
    <row r="131" spans="1:11" ht="15" hidden="1" thickBot="1" x14ac:dyDescent="0.35">
      <c r="A131" s="273" t="str">
        <f>"Site Address: " &amp; 'PROJECT SUMMARY (Old)'!C40 &amp; " - " &amp; 'PROJECT SUMMARY (Old)'!D40</f>
        <v xml:space="preserve">Site Address:  - </v>
      </c>
      <c r="B131" s="273"/>
      <c r="C131" s="273"/>
      <c r="D131" s="273"/>
      <c r="E131" s="273"/>
      <c r="F131" s="273"/>
      <c r="G131" s="273"/>
      <c r="K131" s="86"/>
    </row>
    <row r="132" spans="1:11" hidden="1" x14ac:dyDescent="0.3">
      <c r="A132" s="40" t="s">
        <v>464</v>
      </c>
      <c r="B132" s="41"/>
      <c r="C132" s="11" t="s">
        <v>16</v>
      </c>
      <c r="D132" s="11" t="s">
        <v>4</v>
      </c>
      <c r="E132" s="11" t="s">
        <v>17</v>
      </c>
      <c r="F132" s="11" t="s">
        <v>6</v>
      </c>
      <c r="G132" s="12" t="s">
        <v>7</v>
      </c>
    </row>
    <row r="133" spans="1:11" hidden="1" x14ac:dyDescent="0.3">
      <c r="A133" s="26" t="s">
        <v>279</v>
      </c>
      <c r="B133" s="27"/>
      <c r="C133" s="42">
        <v>1</v>
      </c>
      <c r="D133" s="42">
        <v>1</v>
      </c>
      <c r="E133" s="64">
        <v>0</v>
      </c>
      <c r="F133" s="44" cm="1">
        <f t="array" ref="F133">_xlfn.XLOOKUP($J$2&amp;$J$4&amp;$J$5,LISTS!$D$14:$D$28&amp;LISTS!$C$14:$C$28&amp;LISTS!$B$14:$B$28,LISTS!$E$14:$E$28)</f>
        <v>340</v>
      </c>
      <c r="G133" s="32">
        <f>+C133*D133*E133*F133</f>
        <v>0</v>
      </c>
      <c r="J133" s="122" t="e">
        <f>MROUND(SUM(#REF!,#REF!,#REF!,#REF!,#REF!),0.25)</f>
        <v>#REF!</v>
      </c>
      <c r="K133" t="s">
        <v>283</v>
      </c>
    </row>
    <row r="134" spans="1:11" ht="15" hidden="1" thickBot="1" x14ac:dyDescent="0.35">
      <c r="A134" s="14" t="s">
        <v>280</v>
      </c>
      <c r="B134" s="15"/>
      <c r="C134" s="58">
        <v>1</v>
      </c>
      <c r="D134" s="58">
        <v>1</v>
      </c>
      <c r="E134" s="65">
        <v>0</v>
      </c>
      <c r="F134" s="59">
        <f>IF(J97="Fire - Liberty Mutual/State Auto",100,_xlfn.XLOOKUP($J$4,LISTS!$B$32:$B$33,LISTS!$C$32:$C$33))</f>
        <v>185</v>
      </c>
      <c r="G134" s="60">
        <f>+C134*D134*E134*F134</f>
        <v>0</v>
      </c>
      <c r="J134" s="122" t="e">
        <f>MROUND(SUM(#REF!,#REF!,#REF!,#REF!,#REF!,#REF!,#REF!,#REF!),0.25)</f>
        <v>#REF!</v>
      </c>
      <c r="K134" t="s">
        <v>284</v>
      </c>
    </row>
    <row r="135" spans="1:11" hidden="1" x14ac:dyDescent="0.3">
      <c r="A135" s="27"/>
      <c r="B135" s="27"/>
      <c r="C135" s="182"/>
      <c r="D135" s="182"/>
      <c r="E135" s="63"/>
      <c r="F135" s="38"/>
      <c r="G135" s="61" cm="1">
        <f t="array" ref="G135">SUM(IFERROR(G133:G134,0))</f>
        <v>0</v>
      </c>
    </row>
    <row r="136" spans="1:11" ht="15" hidden="1" thickBot="1" x14ac:dyDescent="0.35">
      <c r="A136" s="273" t="str">
        <f>"Site Address: " &amp; 'PROJECT SUMMARY (Old)'!C41 &amp; " - " &amp; 'PROJECT SUMMARY (Old)'!D41</f>
        <v xml:space="preserve">Site Address:  - </v>
      </c>
      <c r="B136" s="273"/>
      <c r="C136" s="273"/>
      <c r="D136" s="273"/>
      <c r="E136" s="273"/>
      <c r="F136" s="273"/>
      <c r="G136" s="273"/>
      <c r="K136" s="86"/>
    </row>
    <row r="137" spans="1:11" hidden="1" x14ac:dyDescent="0.3">
      <c r="A137" s="40" t="s">
        <v>464</v>
      </c>
      <c r="B137" s="41"/>
      <c r="C137" s="11" t="s">
        <v>16</v>
      </c>
      <c r="D137" s="11" t="s">
        <v>4</v>
      </c>
      <c r="E137" s="11" t="s">
        <v>17</v>
      </c>
      <c r="F137" s="11" t="s">
        <v>6</v>
      </c>
      <c r="G137" s="12" t="s">
        <v>7</v>
      </c>
    </row>
    <row r="138" spans="1:11" hidden="1" x14ac:dyDescent="0.3">
      <c r="A138" s="26" t="s">
        <v>279</v>
      </c>
      <c r="B138" s="27"/>
      <c r="C138" s="42">
        <v>1</v>
      </c>
      <c r="D138" s="42">
        <v>1</v>
      </c>
      <c r="E138" s="64">
        <v>0</v>
      </c>
      <c r="F138" s="44" cm="1">
        <f t="array" ref="F138">_xlfn.XLOOKUP($J$2&amp;$J$4&amp;$J$5,LISTS!$D$14:$D$28&amp;LISTS!$C$14:$C$28&amp;LISTS!$B$14:$B$28,LISTS!$E$14:$E$28)</f>
        <v>340</v>
      </c>
      <c r="G138" s="32">
        <f>+C138*D138*E138*F138</f>
        <v>0</v>
      </c>
      <c r="J138" s="122" t="e">
        <f>MROUND(SUM(#REF!,#REF!,#REF!,#REF!,#REF!),0.25)</f>
        <v>#REF!</v>
      </c>
      <c r="K138" t="s">
        <v>283</v>
      </c>
    </row>
    <row r="139" spans="1:11" ht="15" hidden="1" thickBot="1" x14ac:dyDescent="0.35">
      <c r="A139" s="14" t="s">
        <v>280</v>
      </c>
      <c r="B139" s="15"/>
      <c r="C139" s="58">
        <v>1</v>
      </c>
      <c r="D139" s="58">
        <v>1</v>
      </c>
      <c r="E139" s="65">
        <v>0</v>
      </c>
      <c r="F139" s="59">
        <f>IF(J102="Fire - Liberty Mutual/State Auto",100,_xlfn.XLOOKUP($J$4,LISTS!$B$32:$B$33,LISTS!$C$32:$C$33))</f>
        <v>185</v>
      </c>
      <c r="G139" s="60">
        <f>+C139*D139*E139*F139</f>
        <v>0</v>
      </c>
      <c r="J139" s="122" t="e">
        <f>MROUND(SUM(#REF!,#REF!,#REF!,#REF!,#REF!,#REF!,#REF!,#REF!),0.25)</f>
        <v>#REF!</v>
      </c>
      <c r="K139" t="s">
        <v>284</v>
      </c>
    </row>
    <row r="140" spans="1:11" hidden="1" x14ac:dyDescent="0.3">
      <c r="A140" s="27"/>
      <c r="B140" s="27"/>
      <c r="C140" s="182"/>
      <c r="D140" s="182"/>
      <c r="E140" s="63"/>
      <c r="F140" s="38"/>
      <c r="G140" s="61" cm="1">
        <f t="array" ref="G140">SUM(IFERROR(G138:G139,0))</f>
        <v>0</v>
      </c>
    </row>
    <row r="141" spans="1:11" ht="15" hidden="1" thickBot="1" x14ac:dyDescent="0.35">
      <c r="A141" s="273" t="str">
        <f>"Site Address: " &amp; 'PROJECT SUMMARY (Old)'!C42 &amp; " - " &amp; 'PROJECT SUMMARY (Old)'!D42</f>
        <v xml:space="preserve">Site Address:  - </v>
      </c>
      <c r="B141" s="273"/>
      <c r="C141" s="273"/>
      <c r="D141" s="273"/>
      <c r="E141" s="273"/>
      <c r="F141" s="273"/>
      <c r="G141" s="273"/>
      <c r="K141" s="86"/>
    </row>
    <row r="142" spans="1:11" hidden="1" x14ac:dyDescent="0.3">
      <c r="A142" s="40" t="s">
        <v>464</v>
      </c>
      <c r="B142" s="41"/>
      <c r="C142" s="11" t="s">
        <v>16</v>
      </c>
      <c r="D142" s="11" t="s">
        <v>4</v>
      </c>
      <c r="E142" s="11" t="s">
        <v>17</v>
      </c>
      <c r="F142" s="11" t="s">
        <v>6</v>
      </c>
      <c r="G142" s="12" t="s">
        <v>7</v>
      </c>
    </row>
    <row r="143" spans="1:11" hidden="1" x14ac:dyDescent="0.3">
      <c r="A143" s="26" t="s">
        <v>279</v>
      </c>
      <c r="B143" s="27"/>
      <c r="C143" s="42">
        <v>1</v>
      </c>
      <c r="D143" s="42">
        <v>1</v>
      </c>
      <c r="E143" s="64">
        <v>0</v>
      </c>
      <c r="F143" s="44" cm="1">
        <f t="array" ref="F143">_xlfn.XLOOKUP($J$2&amp;$J$4&amp;$J$5,LISTS!$D$14:$D$28&amp;LISTS!$C$14:$C$28&amp;LISTS!$B$14:$B$28,LISTS!$E$14:$E$28)</f>
        <v>340</v>
      </c>
      <c r="G143" s="32">
        <f>+C143*D143*E143*F143</f>
        <v>0</v>
      </c>
      <c r="J143" s="122" t="e">
        <f>MROUND(SUM(#REF!,#REF!,#REF!,#REF!,#REF!),0.25)</f>
        <v>#REF!</v>
      </c>
      <c r="K143" t="s">
        <v>283</v>
      </c>
    </row>
    <row r="144" spans="1:11" ht="15" hidden="1" thickBot="1" x14ac:dyDescent="0.35">
      <c r="A144" s="14" t="s">
        <v>280</v>
      </c>
      <c r="B144" s="15"/>
      <c r="C144" s="58">
        <v>1</v>
      </c>
      <c r="D144" s="58">
        <v>1</v>
      </c>
      <c r="E144" s="65">
        <v>0</v>
      </c>
      <c r="F144" s="59">
        <f>IF(J107="Fire - Liberty Mutual/State Auto",100,_xlfn.XLOOKUP($J$4,LISTS!$B$32:$B$33,LISTS!$C$32:$C$33))</f>
        <v>185</v>
      </c>
      <c r="G144" s="60">
        <f>+C144*D144*E144*F144</f>
        <v>0</v>
      </c>
      <c r="J144" s="122" t="e">
        <f>MROUND(SUM(#REF!,#REF!,#REF!,#REF!,#REF!,#REF!,#REF!,#REF!),0.25)</f>
        <v>#REF!</v>
      </c>
      <c r="K144" t="s">
        <v>284</v>
      </c>
    </row>
    <row r="145" spans="1:11" hidden="1" x14ac:dyDescent="0.3">
      <c r="A145" s="27"/>
      <c r="B145" s="27"/>
      <c r="C145" s="182"/>
      <c r="D145" s="182"/>
      <c r="E145" s="63"/>
      <c r="F145" s="38"/>
      <c r="G145" s="61" cm="1">
        <f t="array" ref="G145">SUM(IFERROR(G143:G144,0))</f>
        <v>0</v>
      </c>
    </row>
    <row r="146" spans="1:11" ht="15" hidden="1" thickBot="1" x14ac:dyDescent="0.35">
      <c r="A146" s="273" t="str">
        <f>"Site Address: " &amp; 'PROJECT SUMMARY (Old)'!C43 &amp; " - " &amp; 'PROJECT SUMMARY (Old)'!D43</f>
        <v xml:space="preserve">Site Address:  - </v>
      </c>
      <c r="B146" s="273"/>
      <c r="C146" s="273"/>
      <c r="D146" s="273"/>
      <c r="E146" s="273"/>
      <c r="F146" s="273"/>
      <c r="G146" s="273"/>
      <c r="K146" s="86"/>
    </row>
    <row r="147" spans="1:11" hidden="1" x14ac:dyDescent="0.3">
      <c r="A147" s="40" t="s">
        <v>464</v>
      </c>
      <c r="B147" s="41"/>
      <c r="C147" s="11" t="s">
        <v>16</v>
      </c>
      <c r="D147" s="11" t="s">
        <v>4</v>
      </c>
      <c r="E147" s="11" t="s">
        <v>17</v>
      </c>
      <c r="F147" s="11" t="s">
        <v>6</v>
      </c>
      <c r="G147" s="12" t="s">
        <v>7</v>
      </c>
    </row>
    <row r="148" spans="1:11" hidden="1" x14ac:dyDescent="0.3">
      <c r="A148" s="26" t="s">
        <v>279</v>
      </c>
      <c r="B148" s="27"/>
      <c r="C148" s="42">
        <v>1</v>
      </c>
      <c r="D148" s="42">
        <v>1</v>
      </c>
      <c r="E148" s="64">
        <v>0</v>
      </c>
      <c r="F148" s="44" cm="1">
        <f t="array" ref="F148">_xlfn.XLOOKUP($J$2&amp;$J$4&amp;$J$5,LISTS!$D$14:$D$28&amp;LISTS!$C$14:$C$28&amp;LISTS!$B$14:$B$28,LISTS!$E$14:$E$28)</f>
        <v>340</v>
      </c>
      <c r="G148" s="32">
        <f>+C148*D148*E148*F148</f>
        <v>0</v>
      </c>
      <c r="J148" s="122" t="e">
        <f>MROUND(SUM(#REF!,#REF!,#REF!,#REF!,#REF!),0.25)</f>
        <v>#REF!</v>
      </c>
      <c r="K148" t="s">
        <v>283</v>
      </c>
    </row>
    <row r="149" spans="1:11" ht="15" hidden="1" thickBot="1" x14ac:dyDescent="0.35">
      <c r="A149" s="14" t="s">
        <v>280</v>
      </c>
      <c r="B149" s="15"/>
      <c r="C149" s="58">
        <v>1</v>
      </c>
      <c r="D149" s="58">
        <v>1</v>
      </c>
      <c r="E149" s="65">
        <v>0</v>
      </c>
      <c r="F149" s="59">
        <f>IF(J112="Fire - Liberty Mutual/State Auto",100,_xlfn.XLOOKUP($J$4,LISTS!$B$32:$B$33,LISTS!$C$32:$C$33))</f>
        <v>185</v>
      </c>
      <c r="G149" s="60">
        <f>+C149*D149*E149*F149</f>
        <v>0</v>
      </c>
      <c r="J149" s="122" t="e">
        <f>MROUND(SUM(#REF!,#REF!,#REF!,#REF!,#REF!,#REF!,#REF!,#REF!),0.25)</f>
        <v>#REF!</v>
      </c>
      <c r="K149" t="s">
        <v>284</v>
      </c>
    </row>
    <row r="150" spans="1:11" hidden="1" x14ac:dyDescent="0.3">
      <c r="A150" s="27"/>
      <c r="B150" s="27"/>
      <c r="C150" s="182"/>
      <c r="D150" s="182"/>
      <c r="E150" s="63"/>
      <c r="F150" s="38"/>
      <c r="G150" s="61" cm="1">
        <f t="array" ref="G150">SUM(IFERROR(G148:G149,0))</f>
        <v>0</v>
      </c>
    </row>
    <row r="151" spans="1:11" ht="15" hidden="1" thickBot="1" x14ac:dyDescent="0.35">
      <c r="A151" s="273" t="str">
        <f>"Site Address: " &amp; 'PROJECT SUMMARY (Old)'!C44 &amp; " - " &amp; 'PROJECT SUMMARY (Old)'!D44</f>
        <v xml:space="preserve">Site Address:  - </v>
      </c>
      <c r="B151" s="273"/>
      <c r="C151" s="273"/>
      <c r="D151" s="273"/>
      <c r="E151" s="273"/>
      <c r="F151" s="273"/>
      <c r="G151" s="273"/>
      <c r="K151" s="86"/>
    </row>
    <row r="152" spans="1:11" hidden="1" x14ac:dyDescent="0.3">
      <c r="A152" s="40" t="s">
        <v>464</v>
      </c>
      <c r="B152" s="41"/>
      <c r="C152" s="11" t="s">
        <v>16</v>
      </c>
      <c r="D152" s="11" t="s">
        <v>4</v>
      </c>
      <c r="E152" s="11" t="s">
        <v>17</v>
      </c>
      <c r="F152" s="11" t="s">
        <v>6</v>
      </c>
      <c r="G152" s="12" t="s">
        <v>7</v>
      </c>
    </row>
    <row r="153" spans="1:11" hidden="1" x14ac:dyDescent="0.3">
      <c r="A153" s="26" t="s">
        <v>279</v>
      </c>
      <c r="B153" s="27"/>
      <c r="C153" s="42">
        <v>1</v>
      </c>
      <c r="D153" s="42">
        <v>1</v>
      </c>
      <c r="E153" s="64">
        <v>0</v>
      </c>
      <c r="F153" s="44" cm="1">
        <f t="array" ref="F153">_xlfn.XLOOKUP($J$2&amp;$J$4&amp;$J$5,LISTS!$D$14:$D$28&amp;LISTS!$C$14:$C$28&amp;LISTS!$B$14:$B$28,LISTS!$E$14:$E$28)</f>
        <v>340</v>
      </c>
      <c r="G153" s="32">
        <f>+C153*D153*E153*F153</f>
        <v>0</v>
      </c>
      <c r="J153" s="122" t="e">
        <f>MROUND(SUM(#REF!,#REF!,#REF!,#REF!,#REF!),0.25)</f>
        <v>#REF!</v>
      </c>
      <c r="K153" t="s">
        <v>283</v>
      </c>
    </row>
    <row r="154" spans="1:11" ht="15" hidden="1" thickBot="1" x14ac:dyDescent="0.35">
      <c r="A154" s="14" t="s">
        <v>280</v>
      </c>
      <c r="B154" s="15"/>
      <c r="C154" s="58">
        <v>1</v>
      </c>
      <c r="D154" s="58">
        <v>1</v>
      </c>
      <c r="E154" s="65">
        <v>0</v>
      </c>
      <c r="F154" s="59">
        <f>IF(J117="Fire - Liberty Mutual/State Auto",100,_xlfn.XLOOKUP($J$4,LISTS!$B$32:$B$33,LISTS!$C$32:$C$33))</f>
        <v>185</v>
      </c>
      <c r="G154" s="60">
        <f>+C154*D154*E154*F154</f>
        <v>0</v>
      </c>
      <c r="J154" s="122" t="e">
        <f>MROUND(SUM(#REF!,#REF!,#REF!,#REF!,#REF!,#REF!,#REF!,#REF!),0.25)</f>
        <v>#REF!</v>
      </c>
      <c r="K154" t="s">
        <v>284</v>
      </c>
    </row>
    <row r="155" spans="1:11" hidden="1" x14ac:dyDescent="0.3">
      <c r="A155" s="27"/>
      <c r="B155" s="27"/>
      <c r="C155" s="182"/>
      <c r="D155" s="182"/>
      <c r="E155" s="63"/>
      <c r="F155" s="38"/>
      <c r="G155" s="61" cm="1">
        <f t="array" ref="G155">SUM(IFERROR(G153:G154,0))</f>
        <v>0</v>
      </c>
    </row>
    <row r="156" spans="1:11" ht="15" hidden="1" thickBot="1" x14ac:dyDescent="0.35">
      <c r="A156" s="273" t="str">
        <f>"Site Address: " &amp; 'PROJECT SUMMARY (Old)'!C45 &amp; " - " &amp; 'PROJECT SUMMARY (Old)'!D45</f>
        <v xml:space="preserve">Site Address:  - </v>
      </c>
      <c r="B156" s="273"/>
      <c r="C156" s="273"/>
      <c r="D156" s="273"/>
      <c r="E156" s="273"/>
      <c r="F156" s="273"/>
      <c r="G156" s="273"/>
      <c r="K156" s="86"/>
    </row>
    <row r="157" spans="1:11" hidden="1" x14ac:dyDescent="0.3">
      <c r="A157" s="40" t="s">
        <v>464</v>
      </c>
      <c r="B157" s="41"/>
      <c r="C157" s="11" t="s">
        <v>16</v>
      </c>
      <c r="D157" s="11" t="s">
        <v>4</v>
      </c>
      <c r="E157" s="11" t="s">
        <v>17</v>
      </c>
      <c r="F157" s="11" t="s">
        <v>6</v>
      </c>
      <c r="G157" s="12" t="s">
        <v>7</v>
      </c>
    </row>
    <row r="158" spans="1:11" hidden="1" x14ac:dyDescent="0.3">
      <c r="A158" s="26" t="s">
        <v>279</v>
      </c>
      <c r="B158" s="27"/>
      <c r="C158" s="42">
        <v>1</v>
      </c>
      <c r="D158" s="42">
        <v>1</v>
      </c>
      <c r="E158" s="64">
        <v>0</v>
      </c>
      <c r="F158" s="44" cm="1">
        <f t="array" ref="F158">_xlfn.XLOOKUP($J$2&amp;$J$4&amp;$J$5,LISTS!$D$14:$D$28&amp;LISTS!$C$14:$C$28&amp;LISTS!$B$14:$B$28,LISTS!$E$14:$E$28)</f>
        <v>340</v>
      </c>
      <c r="G158" s="32">
        <f>+C158*D158*E158*F158</f>
        <v>0</v>
      </c>
      <c r="J158" s="122" t="e">
        <f>MROUND(SUM(#REF!,#REF!,#REF!,#REF!,#REF!),0.25)</f>
        <v>#REF!</v>
      </c>
      <c r="K158" t="s">
        <v>283</v>
      </c>
    </row>
    <row r="159" spans="1:11" ht="15" hidden="1" thickBot="1" x14ac:dyDescent="0.35">
      <c r="A159" s="14" t="s">
        <v>280</v>
      </c>
      <c r="B159" s="15"/>
      <c r="C159" s="58">
        <v>1</v>
      </c>
      <c r="D159" s="58">
        <v>1</v>
      </c>
      <c r="E159" s="65">
        <v>0</v>
      </c>
      <c r="F159" s="59">
        <f>IF(J122="Fire - Liberty Mutual/State Auto",100,_xlfn.XLOOKUP($J$4,LISTS!$B$32:$B$33,LISTS!$C$32:$C$33))</f>
        <v>185</v>
      </c>
      <c r="G159" s="60">
        <f>+C159*D159*E159*F159</f>
        <v>0</v>
      </c>
      <c r="J159" s="122" t="e">
        <f>MROUND(SUM(#REF!,#REF!,#REF!,#REF!,#REF!,#REF!,#REF!,#REF!),0.25)</f>
        <v>#REF!</v>
      </c>
      <c r="K159" t="s">
        <v>284</v>
      </c>
    </row>
    <row r="160" spans="1:11" hidden="1" x14ac:dyDescent="0.3">
      <c r="A160" s="27"/>
      <c r="B160" s="27"/>
      <c r="C160" s="182"/>
      <c r="D160" s="182"/>
      <c r="E160" s="63"/>
      <c r="F160" s="38"/>
      <c r="G160" s="61" cm="1">
        <f t="array" ref="G160">SUM(IFERROR(G158:G159,0))</f>
        <v>0</v>
      </c>
    </row>
    <row r="161" spans="1:11" ht="15" hidden="1" thickBot="1" x14ac:dyDescent="0.35">
      <c r="A161" s="273" t="str">
        <f>"Site Address: " &amp; 'PROJECT SUMMARY (Old)'!C46 &amp; " - " &amp; 'PROJECT SUMMARY (Old)'!D46</f>
        <v xml:space="preserve">Site Address:  - </v>
      </c>
      <c r="B161" s="273"/>
      <c r="C161" s="273"/>
      <c r="D161" s="273"/>
      <c r="E161" s="273"/>
      <c r="F161" s="273"/>
      <c r="G161" s="273"/>
      <c r="K161" s="86"/>
    </row>
    <row r="162" spans="1:11" hidden="1" x14ac:dyDescent="0.3">
      <c r="A162" s="40" t="s">
        <v>464</v>
      </c>
      <c r="B162" s="41"/>
      <c r="C162" s="11" t="s">
        <v>16</v>
      </c>
      <c r="D162" s="11" t="s">
        <v>4</v>
      </c>
      <c r="E162" s="11" t="s">
        <v>17</v>
      </c>
      <c r="F162" s="11" t="s">
        <v>6</v>
      </c>
      <c r="G162" s="12" t="s">
        <v>7</v>
      </c>
    </row>
    <row r="163" spans="1:11" hidden="1" x14ac:dyDescent="0.3">
      <c r="A163" s="26" t="s">
        <v>279</v>
      </c>
      <c r="B163" s="27"/>
      <c r="C163" s="42">
        <v>1</v>
      </c>
      <c r="D163" s="42">
        <v>1</v>
      </c>
      <c r="E163" s="64">
        <v>0</v>
      </c>
      <c r="F163" s="44" cm="1">
        <f t="array" ref="F163">_xlfn.XLOOKUP($J$2&amp;$J$4&amp;$J$5,LISTS!$D$14:$D$28&amp;LISTS!$C$14:$C$28&amp;LISTS!$B$14:$B$28,LISTS!$E$14:$E$28)</f>
        <v>340</v>
      </c>
      <c r="G163" s="32">
        <f>+C163*D163*E163*F163</f>
        <v>0</v>
      </c>
      <c r="J163" s="122" t="e">
        <f>MROUND(SUM(#REF!,#REF!,#REF!,#REF!,#REF!),0.25)</f>
        <v>#REF!</v>
      </c>
      <c r="K163" t="s">
        <v>283</v>
      </c>
    </row>
    <row r="164" spans="1:11" ht="15" hidden="1" thickBot="1" x14ac:dyDescent="0.35">
      <c r="A164" s="14" t="s">
        <v>280</v>
      </c>
      <c r="B164" s="15"/>
      <c r="C164" s="58">
        <v>1</v>
      </c>
      <c r="D164" s="58">
        <v>1</v>
      </c>
      <c r="E164" s="65">
        <v>0</v>
      </c>
      <c r="F164" s="59">
        <f>IF(J127="Fire - Liberty Mutual/State Auto",100,_xlfn.XLOOKUP($J$4,LISTS!$B$32:$B$33,LISTS!$C$32:$C$33))</f>
        <v>185</v>
      </c>
      <c r="G164" s="60">
        <f>+C164*D164*E164*F164</f>
        <v>0</v>
      </c>
      <c r="J164" s="122" t="e">
        <f>MROUND(SUM(#REF!,#REF!,#REF!,#REF!,#REF!,#REF!,#REF!,#REF!),0.25)</f>
        <v>#REF!</v>
      </c>
      <c r="K164" t="s">
        <v>284</v>
      </c>
    </row>
    <row r="165" spans="1:11" hidden="1" x14ac:dyDescent="0.3">
      <c r="A165" s="27"/>
      <c r="B165" s="27"/>
      <c r="C165" s="182"/>
      <c r="D165" s="182"/>
      <c r="E165" s="63"/>
      <c r="F165" s="38"/>
      <c r="G165" s="61" cm="1">
        <f t="array" ref="G165">SUM(IFERROR(G163:G164,0))</f>
        <v>0</v>
      </c>
    </row>
    <row r="166" spans="1:11" ht="15" hidden="1" thickBot="1" x14ac:dyDescent="0.35">
      <c r="A166" s="273" t="str">
        <f>"Site Address: " &amp; 'PROJECT SUMMARY (Old)'!C47 &amp; " - " &amp; 'PROJECT SUMMARY (Old)'!D47</f>
        <v xml:space="preserve">Site Address:  - </v>
      </c>
      <c r="B166" s="273"/>
      <c r="C166" s="273"/>
      <c r="D166" s="273"/>
      <c r="E166" s="273"/>
      <c r="F166" s="273"/>
      <c r="G166" s="273"/>
      <c r="K166" s="86"/>
    </row>
    <row r="167" spans="1:11" hidden="1" x14ac:dyDescent="0.3">
      <c r="A167" s="40" t="s">
        <v>464</v>
      </c>
      <c r="B167" s="41"/>
      <c r="C167" s="11" t="s">
        <v>16</v>
      </c>
      <c r="D167" s="11" t="s">
        <v>4</v>
      </c>
      <c r="E167" s="11" t="s">
        <v>17</v>
      </c>
      <c r="F167" s="11" t="s">
        <v>6</v>
      </c>
      <c r="G167" s="12" t="s">
        <v>7</v>
      </c>
    </row>
    <row r="168" spans="1:11" hidden="1" x14ac:dyDescent="0.3">
      <c r="A168" s="26" t="s">
        <v>279</v>
      </c>
      <c r="B168" s="27"/>
      <c r="C168" s="42">
        <v>1</v>
      </c>
      <c r="D168" s="42">
        <v>1</v>
      </c>
      <c r="E168" s="64">
        <v>0</v>
      </c>
      <c r="F168" s="44" cm="1">
        <f t="array" ref="F168">_xlfn.XLOOKUP($J$2&amp;$J$4&amp;$J$5,LISTS!$D$14:$D$28&amp;LISTS!$C$14:$C$28&amp;LISTS!$B$14:$B$28,LISTS!$E$14:$E$28)</f>
        <v>340</v>
      </c>
      <c r="G168" s="32">
        <f>+C168*D168*E168*F168</f>
        <v>0</v>
      </c>
      <c r="J168" s="122" t="e">
        <f>MROUND(SUM(#REF!,#REF!,#REF!,#REF!,#REF!),0.25)</f>
        <v>#REF!</v>
      </c>
      <c r="K168" t="s">
        <v>283</v>
      </c>
    </row>
    <row r="169" spans="1:11" ht="15" hidden="1" thickBot="1" x14ac:dyDescent="0.35">
      <c r="A169" s="14" t="s">
        <v>280</v>
      </c>
      <c r="B169" s="15"/>
      <c r="C169" s="58">
        <v>1</v>
      </c>
      <c r="D169" s="58">
        <v>1</v>
      </c>
      <c r="E169" s="65">
        <v>0</v>
      </c>
      <c r="F169" s="59">
        <f>IF(J132="Fire - Liberty Mutual/State Auto",100,_xlfn.XLOOKUP($J$4,LISTS!$B$32:$B$33,LISTS!$C$32:$C$33))</f>
        <v>185</v>
      </c>
      <c r="G169" s="60">
        <f>+C169*D169*E169*F169</f>
        <v>0</v>
      </c>
      <c r="J169" s="122" t="e">
        <f>MROUND(SUM(#REF!,#REF!,#REF!,#REF!,#REF!,#REF!,#REF!,#REF!),0.25)</f>
        <v>#REF!</v>
      </c>
      <c r="K169" t="s">
        <v>284</v>
      </c>
    </row>
    <row r="170" spans="1:11" hidden="1" x14ac:dyDescent="0.3">
      <c r="A170" s="27"/>
      <c r="B170" s="27"/>
      <c r="C170" s="182"/>
      <c r="D170" s="182"/>
      <c r="E170" s="63"/>
      <c r="F170" s="38"/>
      <c r="G170" s="61" cm="1">
        <f t="array" ref="G170">SUM(IFERROR(G168:G169,0))</f>
        <v>0</v>
      </c>
    </row>
    <row r="171" spans="1:11" ht="15" hidden="1" thickBot="1" x14ac:dyDescent="0.35">
      <c r="A171" s="273" t="str">
        <f>"Site Address: " &amp; 'PROJECT SUMMARY (Old)'!C48 &amp; " - " &amp; 'PROJECT SUMMARY (Old)'!D48</f>
        <v xml:space="preserve">Site Address:  - </v>
      </c>
      <c r="B171" s="273"/>
      <c r="C171" s="273"/>
      <c r="D171" s="273"/>
      <c r="E171" s="273"/>
      <c r="F171" s="273"/>
      <c r="G171" s="273"/>
      <c r="K171" s="86"/>
    </row>
    <row r="172" spans="1:11" hidden="1" x14ac:dyDescent="0.3">
      <c r="A172" s="40" t="s">
        <v>464</v>
      </c>
      <c r="B172" s="41"/>
      <c r="C172" s="11" t="s">
        <v>16</v>
      </c>
      <c r="D172" s="11" t="s">
        <v>4</v>
      </c>
      <c r="E172" s="11" t="s">
        <v>17</v>
      </c>
      <c r="F172" s="11" t="s">
        <v>6</v>
      </c>
      <c r="G172" s="12" t="s">
        <v>7</v>
      </c>
    </row>
    <row r="173" spans="1:11" hidden="1" x14ac:dyDescent="0.3">
      <c r="A173" s="26" t="s">
        <v>279</v>
      </c>
      <c r="B173" s="27"/>
      <c r="C173" s="42">
        <v>1</v>
      </c>
      <c r="D173" s="42">
        <v>1</v>
      </c>
      <c r="E173" s="64">
        <v>0</v>
      </c>
      <c r="F173" s="44" cm="1">
        <f t="array" ref="F173">_xlfn.XLOOKUP($J$2&amp;$J$4&amp;$J$5,LISTS!$D$14:$D$28&amp;LISTS!$C$14:$C$28&amp;LISTS!$B$14:$B$28,LISTS!$E$14:$E$28)</f>
        <v>340</v>
      </c>
      <c r="G173" s="32">
        <f>+C173*D173*E173*F173</f>
        <v>0</v>
      </c>
      <c r="J173" s="122" t="e">
        <f>MROUND(SUM(#REF!,#REF!,#REF!,#REF!,#REF!),0.25)</f>
        <v>#REF!</v>
      </c>
      <c r="K173" t="s">
        <v>283</v>
      </c>
    </row>
    <row r="174" spans="1:11" ht="15" hidden="1" thickBot="1" x14ac:dyDescent="0.35">
      <c r="A174" s="14" t="s">
        <v>280</v>
      </c>
      <c r="B174" s="15"/>
      <c r="C174" s="58">
        <v>1</v>
      </c>
      <c r="D174" s="58">
        <v>1</v>
      </c>
      <c r="E174" s="65">
        <v>0</v>
      </c>
      <c r="F174" s="59">
        <f>IF(J137="Fire - Liberty Mutual/State Auto",100,_xlfn.XLOOKUP($J$4,LISTS!$B$32:$B$33,LISTS!$C$32:$C$33))</f>
        <v>185</v>
      </c>
      <c r="G174" s="60">
        <f>+C174*D174*E174*F174</f>
        <v>0</v>
      </c>
      <c r="J174" s="122" t="e">
        <f>MROUND(SUM(#REF!,#REF!,#REF!,#REF!,#REF!,#REF!,#REF!,#REF!),0.25)</f>
        <v>#REF!</v>
      </c>
      <c r="K174" t="s">
        <v>284</v>
      </c>
    </row>
    <row r="175" spans="1:11" hidden="1" x14ac:dyDescent="0.3">
      <c r="A175" s="27"/>
      <c r="B175" s="27"/>
      <c r="C175" s="182"/>
      <c r="D175" s="182"/>
      <c r="E175" s="63"/>
      <c r="F175" s="38"/>
      <c r="G175" s="61" cm="1">
        <f t="array" ref="G175">SUM(IFERROR(G173:G174,0))</f>
        <v>0</v>
      </c>
    </row>
    <row r="176" spans="1:11" ht="15" hidden="1" thickBot="1" x14ac:dyDescent="0.35">
      <c r="A176" s="273" t="str">
        <f>"Site Address: " &amp; 'PROJECT SUMMARY (Old)'!C49 &amp; " - " &amp; 'PROJECT SUMMARY (Old)'!D49</f>
        <v xml:space="preserve">Site Address:  - </v>
      </c>
      <c r="B176" s="273"/>
      <c r="C176" s="273"/>
      <c r="D176" s="273"/>
      <c r="E176" s="273"/>
      <c r="F176" s="273"/>
      <c r="G176" s="273"/>
      <c r="K176" s="86"/>
    </row>
    <row r="177" spans="1:11" hidden="1" x14ac:dyDescent="0.3">
      <c r="A177" s="40" t="s">
        <v>464</v>
      </c>
      <c r="B177" s="41"/>
      <c r="C177" s="11" t="s">
        <v>16</v>
      </c>
      <c r="D177" s="11" t="s">
        <v>4</v>
      </c>
      <c r="E177" s="11" t="s">
        <v>17</v>
      </c>
      <c r="F177" s="11" t="s">
        <v>6</v>
      </c>
      <c r="G177" s="12" t="s">
        <v>7</v>
      </c>
    </row>
    <row r="178" spans="1:11" hidden="1" x14ac:dyDescent="0.3">
      <c r="A178" s="26" t="s">
        <v>279</v>
      </c>
      <c r="B178" s="27"/>
      <c r="C178" s="42">
        <v>1</v>
      </c>
      <c r="D178" s="42">
        <v>1</v>
      </c>
      <c r="E178" s="64">
        <v>0</v>
      </c>
      <c r="F178" s="44" cm="1">
        <f t="array" ref="F178">_xlfn.XLOOKUP($J$2&amp;$J$4&amp;$J$5,LISTS!$D$14:$D$28&amp;LISTS!$C$14:$C$28&amp;LISTS!$B$14:$B$28,LISTS!$E$14:$E$28)</f>
        <v>340</v>
      </c>
      <c r="G178" s="32">
        <f>+C178*D178*E178*F178</f>
        <v>0</v>
      </c>
      <c r="J178" s="122" t="e">
        <f>MROUND(SUM(#REF!,#REF!,#REF!,#REF!,#REF!),0.25)</f>
        <v>#REF!</v>
      </c>
      <c r="K178" t="s">
        <v>283</v>
      </c>
    </row>
    <row r="179" spans="1:11" ht="15" hidden="1" thickBot="1" x14ac:dyDescent="0.35">
      <c r="A179" s="14" t="s">
        <v>280</v>
      </c>
      <c r="B179" s="15"/>
      <c r="C179" s="58">
        <v>1</v>
      </c>
      <c r="D179" s="58">
        <v>1</v>
      </c>
      <c r="E179" s="65">
        <v>0</v>
      </c>
      <c r="F179" s="59">
        <f>IF(J142="Fire - Liberty Mutual/State Auto",100,_xlfn.XLOOKUP($J$4,LISTS!$B$32:$B$33,LISTS!$C$32:$C$33))</f>
        <v>185</v>
      </c>
      <c r="G179" s="60">
        <f>+C179*D179*E179*F179</f>
        <v>0</v>
      </c>
      <c r="J179" s="122" t="e">
        <f>MROUND(SUM(#REF!,#REF!,#REF!,#REF!,#REF!,#REF!,#REF!,#REF!),0.25)</f>
        <v>#REF!</v>
      </c>
      <c r="K179" t="s">
        <v>284</v>
      </c>
    </row>
    <row r="180" spans="1:11" hidden="1" x14ac:dyDescent="0.3">
      <c r="A180" s="27"/>
      <c r="B180" s="27"/>
      <c r="C180" s="182"/>
      <c r="D180" s="182"/>
      <c r="E180" s="63"/>
      <c r="F180" s="38"/>
      <c r="G180" s="61" cm="1">
        <f t="array" ref="G180">SUM(IFERROR(G178:G179,0))</f>
        <v>0</v>
      </c>
    </row>
    <row r="181" spans="1:11" ht="15" hidden="1" thickBot="1" x14ac:dyDescent="0.35">
      <c r="A181" s="273" t="str">
        <f>"Site Address: " &amp; 'PROJECT SUMMARY (Old)'!C50 &amp; " - " &amp; 'PROJECT SUMMARY (Old)'!D50</f>
        <v xml:space="preserve">Site Address:  - </v>
      </c>
      <c r="B181" s="273"/>
      <c r="C181" s="273"/>
      <c r="D181" s="273"/>
      <c r="E181" s="273"/>
      <c r="F181" s="273"/>
      <c r="G181" s="273"/>
      <c r="K181" s="86"/>
    </row>
    <row r="182" spans="1:11" hidden="1" x14ac:dyDescent="0.3">
      <c r="A182" s="40" t="s">
        <v>464</v>
      </c>
      <c r="B182" s="41"/>
      <c r="C182" s="11" t="s">
        <v>16</v>
      </c>
      <c r="D182" s="11" t="s">
        <v>4</v>
      </c>
      <c r="E182" s="11" t="s">
        <v>17</v>
      </c>
      <c r="F182" s="11" t="s">
        <v>6</v>
      </c>
      <c r="G182" s="12" t="s">
        <v>7</v>
      </c>
    </row>
    <row r="183" spans="1:11" hidden="1" x14ac:dyDescent="0.3">
      <c r="A183" s="26" t="s">
        <v>279</v>
      </c>
      <c r="B183" s="27"/>
      <c r="C183" s="42">
        <v>1</v>
      </c>
      <c r="D183" s="42">
        <v>1</v>
      </c>
      <c r="E183" s="64">
        <v>0</v>
      </c>
      <c r="F183" s="44" cm="1">
        <f t="array" ref="F183">_xlfn.XLOOKUP($J$2&amp;$J$4&amp;$J$5,LISTS!$D$14:$D$28&amp;LISTS!$C$14:$C$28&amp;LISTS!$B$14:$B$28,LISTS!$E$14:$E$28)</f>
        <v>340</v>
      </c>
      <c r="G183" s="32">
        <f>+C183*D183*E183*F183</f>
        <v>0</v>
      </c>
      <c r="J183" s="122" t="e">
        <f>MROUND(SUM(#REF!,#REF!,#REF!,#REF!,#REF!),0.25)</f>
        <v>#REF!</v>
      </c>
      <c r="K183" t="s">
        <v>283</v>
      </c>
    </row>
    <row r="184" spans="1:11" ht="15" hidden="1" thickBot="1" x14ac:dyDescent="0.35">
      <c r="A184" s="14" t="s">
        <v>280</v>
      </c>
      <c r="B184" s="15"/>
      <c r="C184" s="58">
        <v>1</v>
      </c>
      <c r="D184" s="58">
        <v>1</v>
      </c>
      <c r="E184" s="65">
        <v>0</v>
      </c>
      <c r="F184" s="59">
        <f>IF(J147="Fire - Liberty Mutual/State Auto",100,_xlfn.XLOOKUP($J$4,LISTS!$B$32:$B$33,LISTS!$C$32:$C$33))</f>
        <v>185</v>
      </c>
      <c r="G184" s="60">
        <f>+C184*D184*E184*F184</f>
        <v>0</v>
      </c>
      <c r="J184" s="122" t="e">
        <f>MROUND(SUM(#REF!,#REF!,#REF!,#REF!,#REF!,#REF!,#REF!,#REF!),0.25)</f>
        <v>#REF!</v>
      </c>
      <c r="K184" t="s">
        <v>284</v>
      </c>
    </row>
    <row r="185" spans="1:11" hidden="1" x14ac:dyDescent="0.3">
      <c r="A185" s="27"/>
      <c r="B185" s="27"/>
      <c r="C185" s="182"/>
      <c r="D185" s="182"/>
      <c r="E185" s="63"/>
      <c r="F185" s="38"/>
      <c r="G185" s="61" cm="1">
        <f t="array" ref="G185">SUM(IFERROR(G183:G184,0))</f>
        <v>0</v>
      </c>
    </row>
    <row r="186" spans="1:11" ht="15" hidden="1" thickBot="1" x14ac:dyDescent="0.35">
      <c r="A186" s="273" t="str">
        <f>"Site Address: " &amp; 'PROJECT SUMMARY (Old)'!C51 &amp; " - " &amp; 'PROJECT SUMMARY (Old)'!D51</f>
        <v xml:space="preserve">Site Address:  - </v>
      </c>
      <c r="B186" s="273"/>
      <c r="C186" s="273"/>
      <c r="D186" s="273"/>
      <c r="E186" s="273"/>
      <c r="F186" s="273"/>
      <c r="G186" s="273"/>
      <c r="K186" s="86"/>
    </row>
    <row r="187" spans="1:11" hidden="1" x14ac:dyDescent="0.3">
      <c r="A187" s="40" t="s">
        <v>464</v>
      </c>
      <c r="B187" s="41"/>
      <c r="C187" s="11" t="s">
        <v>16</v>
      </c>
      <c r="D187" s="11" t="s">
        <v>4</v>
      </c>
      <c r="E187" s="11" t="s">
        <v>17</v>
      </c>
      <c r="F187" s="11" t="s">
        <v>6</v>
      </c>
      <c r="G187" s="12" t="s">
        <v>7</v>
      </c>
    </row>
    <row r="188" spans="1:11" hidden="1" x14ac:dyDescent="0.3">
      <c r="A188" s="26" t="s">
        <v>279</v>
      </c>
      <c r="B188" s="27"/>
      <c r="C188" s="42">
        <v>1</v>
      </c>
      <c r="D188" s="42">
        <v>1</v>
      </c>
      <c r="E188" s="64">
        <v>0</v>
      </c>
      <c r="F188" s="44" cm="1">
        <f t="array" ref="F188">_xlfn.XLOOKUP($J$2&amp;$J$4&amp;$J$5,LISTS!$D$14:$D$28&amp;LISTS!$C$14:$C$28&amp;LISTS!$B$14:$B$28,LISTS!$E$14:$E$28)</f>
        <v>340</v>
      </c>
      <c r="G188" s="32">
        <f>+C188*D188*E188*F188</f>
        <v>0</v>
      </c>
      <c r="J188" s="122" t="e">
        <f>MROUND(SUM(#REF!,#REF!,#REF!,#REF!,#REF!),0.25)</f>
        <v>#REF!</v>
      </c>
      <c r="K188" t="s">
        <v>283</v>
      </c>
    </row>
    <row r="189" spans="1:11" ht="15" hidden="1" thickBot="1" x14ac:dyDescent="0.35">
      <c r="A189" s="14" t="s">
        <v>280</v>
      </c>
      <c r="B189" s="15"/>
      <c r="C189" s="58">
        <v>1</v>
      </c>
      <c r="D189" s="58">
        <v>1</v>
      </c>
      <c r="E189" s="65">
        <v>0</v>
      </c>
      <c r="F189" s="59">
        <f>IF(J152="Fire - Liberty Mutual/State Auto",100,_xlfn.XLOOKUP($J$4,LISTS!$B$32:$B$33,LISTS!$C$32:$C$33))</f>
        <v>185</v>
      </c>
      <c r="G189" s="60">
        <f>+C189*D189*E189*F189</f>
        <v>0</v>
      </c>
      <c r="J189" s="122" t="e">
        <f>MROUND(SUM(#REF!,#REF!,#REF!,#REF!,#REF!,#REF!,#REF!,#REF!),0.25)</f>
        <v>#REF!</v>
      </c>
      <c r="K189" t="s">
        <v>284</v>
      </c>
    </row>
    <row r="190" spans="1:11" hidden="1" x14ac:dyDescent="0.3">
      <c r="A190" s="27"/>
      <c r="B190" s="27"/>
      <c r="C190" s="182"/>
      <c r="D190" s="182"/>
      <c r="E190" s="63"/>
      <c r="F190" s="38"/>
      <c r="G190" s="61" cm="1">
        <f t="array" ref="G190">SUM(IFERROR(G188:G189,0))</f>
        <v>0</v>
      </c>
    </row>
    <row r="191" spans="1:11" ht="15" hidden="1" thickBot="1" x14ac:dyDescent="0.35">
      <c r="A191" s="273" t="str">
        <f>"Site Address: " &amp; 'PROJECT SUMMARY (Old)'!C52 &amp; " - " &amp; 'PROJECT SUMMARY (Old)'!D52</f>
        <v xml:space="preserve">Site Address:  - </v>
      </c>
      <c r="B191" s="273"/>
      <c r="C191" s="273"/>
      <c r="D191" s="273"/>
      <c r="E191" s="273"/>
      <c r="F191" s="273"/>
      <c r="G191" s="273"/>
      <c r="K191" s="86"/>
    </row>
    <row r="192" spans="1:11" hidden="1" x14ac:dyDescent="0.3">
      <c r="A192" s="40" t="s">
        <v>464</v>
      </c>
      <c r="B192" s="41"/>
      <c r="C192" s="11" t="s">
        <v>16</v>
      </c>
      <c r="D192" s="11" t="s">
        <v>4</v>
      </c>
      <c r="E192" s="11" t="s">
        <v>17</v>
      </c>
      <c r="F192" s="11" t="s">
        <v>6</v>
      </c>
      <c r="G192" s="12" t="s">
        <v>7</v>
      </c>
    </row>
    <row r="193" spans="1:11" hidden="1" x14ac:dyDescent="0.3">
      <c r="A193" s="26" t="s">
        <v>279</v>
      </c>
      <c r="B193" s="27"/>
      <c r="C193" s="42">
        <v>1</v>
      </c>
      <c r="D193" s="42">
        <v>1</v>
      </c>
      <c r="E193" s="64">
        <v>0</v>
      </c>
      <c r="F193" s="44" cm="1">
        <f t="array" ref="F193">_xlfn.XLOOKUP($J$2&amp;$J$4&amp;$J$5,LISTS!$D$14:$D$28&amp;LISTS!$C$14:$C$28&amp;LISTS!$B$14:$B$28,LISTS!$E$14:$E$28)</f>
        <v>340</v>
      </c>
      <c r="G193" s="32">
        <f>+C193*D193*E193*F193</f>
        <v>0</v>
      </c>
      <c r="J193" s="122" t="e">
        <f>MROUND(SUM(#REF!,#REF!,#REF!,#REF!,#REF!),0.25)</f>
        <v>#REF!</v>
      </c>
      <c r="K193" t="s">
        <v>283</v>
      </c>
    </row>
    <row r="194" spans="1:11" ht="15" hidden="1" thickBot="1" x14ac:dyDescent="0.35">
      <c r="A194" s="14" t="s">
        <v>280</v>
      </c>
      <c r="B194" s="15"/>
      <c r="C194" s="58">
        <v>1</v>
      </c>
      <c r="D194" s="58">
        <v>1</v>
      </c>
      <c r="E194" s="65">
        <v>0</v>
      </c>
      <c r="F194" s="59">
        <f>IF(J157="Fire - Liberty Mutual/State Auto",100,_xlfn.XLOOKUP($J$4,LISTS!$B$32:$B$33,LISTS!$C$32:$C$33))</f>
        <v>185</v>
      </c>
      <c r="G194" s="60">
        <f>+C194*D194*E194*F194</f>
        <v>0</v>
      </c>
      <c r="J194" s="122" t="e">
        <f>MROUND(SUM(#REF!,#REF!,#REF!,#REF!,#REF!,#REF!,#REF!,#REF!),0.25)</f>
        <v>#REF!</v>
      </c>
      <c r="K194" t="s">
        <v>284</v>
      </c>
    </row>
    <row r="195" spans="1:11" hidden="1" x14ac:dyDescent="0.3">
      <c r="A195" s="27"/>
      <c r="B195" s="27"/>
      <c r="C195" s="182"/>
      <c r="D195" s="182"/>
      <c r="E195" s="63"/>
      <c r="F195" s="38"/>
      <c r="G195" s="61" cm="1">
        <f t="array" ref="G195">SUM(IFERROR(G193:G194,0))</f>
        <v>0</v>
      </c>
    </row>
    <row r="196" spans="1:11" ht="15" hidden="1" thickBot="1" x14ac:dyDescent="0.35">
      <c r="A196" s="273" t="str">
        <f>"Site Address: " &amp; 'PROJECT SUMMARY (Old)'!C53 &amp; " - " &amp; 'PROJECT SUMMARY (Old)'!D53</f>
        <v xml:space="preserve">Site Address:  - </v>
      </c>
      <c r="B196" s="273"/>
      <c r="C196" s="273"/>
      <c r="D196" s="273"/>
      <c r="E196" s="273"/>
      <c r="F196" s="273"/>
      <c r="G196" s="273"/>
      <c r="K196" s="86"/>
    </row>
    <row r="197" spans="1:11" hidden="1" x14ac:dyDescent="0.3">
      <c r="A197" s="40" t="s">
        <v>464</v>
      </c>
      <c r="B197" s="41"/>
      <c r="C197" s="11" t="s">
        <v>16</v>
      </c>
      <c r="D197" s="11" t="s">
        <v>4</v>
      </c>
      <c r="E197" s="11" t="s">
        <v>17</v>
      </c>
      <c r="F197" s="11" t="s">
        <v>6</v>
      </c>
      <c r="G197" s="12" t="s">
        <v>7</v>
      </c>
    </row>
    <row r="198" spans="1:11" hidden="1" x14ac:dyDescent="0.3">
      <c r="A198" s="26" t="s">
        <v>279</v>
      </c>
      <c r="B198" s="27"/>
      <c r="C198" s="42">
        <v>1</v>
      </c>
      <c r="D198" s="42">
        <v>1</v>
      </c>
      <c r="E198" s="64">
        <v>0</v>
      </c>
      <c r="F198" s="44" cm="1">
        <f t="array" ref="F198">_xlfn.XLOOKUP($J$2&amp;$J$4&amp;$J$5,LISTS!$D$14:$D$28&amp;LISTS!$C$14:$C$28&amp;LISTS!$B$14:$B$28,LISTS!$E$14:$E$28)</f>
        <v>340</v>
      </c>
      <c r="G198" s="32">
        <f>+C198*D198*E198*F198</f>
        <v>0</v>
      </c>
      <c r="J198" s="122" t="e">
        <f>MROUND(SUM(#REF!,#REF!,#REF!,#REF!,#REF!),0.25)</f>
        <v>#REF!</v>
      </c>
      <c r="K198" t="s">
        <v>283</v>
      </c>
    </row>
    <row r="199" spans="1:11" ht="15" hidden="1" thickBot="1" x14ac:dyDescent="0.35">
      <c r="A199" s="14" t="s">
        <v>280</v>
      </c>
      <c r="B199" s="15"/>
      <c r="C199" s="58">
        <v>1</v>
      </c>
      <c r="D199" s="58">
        <v>1</v>
      </c>
      <c r="E199" s="65">
        <v>0</v>
      </c>
      <c r="F199" s="59">
        <f>IF(J162="Fire - Liberty Mutual/State Auto",100,_xlfn.XLOOKUP($J$4,LISTS!$B$32:$B$33,LISTS!$C$32:$C$33))</f>
        <v>185</v>
      </c>
      <c r="G199" s="60">
        <f>+C199*D199*E199*F199</f>
        <v>0</v>
      </c>
      <c r="J199" s="122" t="e">
        <f>MROUND(SUM(#REF!,#REF!,#REF!,#REF!,#REF!,#REF!,#REF!,#REF!),0.25)</f>
        <v>#REF!</v>
      </c>
      <c r="K199" t="s">
        <v>284</v>
      </c>
    </row>
    <row r="200" spans="1:11" hidden="1" x14ac:dyDescent="0.3">
      <c r="A200" s="27"/>
      <c r="B200" s="27"/>
      <c r="C200" s="182"/>
      <c r="D200" s="182"/>
      <c r="E200" s="63"/>
      <c r="F200" s="38"/>
      <c r="G200" s="61" cm="1">
        <f t="array" ref="G200">SUM(IFERROR(G198:G199,0))</f>
        <v>0</v>
      </c>
    </row>
    <row r="201" spans="1:11" ht="15" hidden="1" thickBot="1" x14ac:dyDescent="0.35">
      <c r="A201" s="273" t="str">
        <f>"Site Address: " &amp; 'PROJECT SUMMARY (Old)'!C54 &amp; " - " &amp; 'PROJECT SUMMARY (Old)'!D54</f>
        <v xml:space="preserve">Site Address:  - </v>
      </c>
      <c r="B201" s="273"/>
      <c r="C201" s="273"/>
      <c r="D201" s="273"/>
      <c r="E201" s="273"/>
      <c r="F201" s="273"/>
      <c r="G201" s="273"/>
      <c r="K201" s="86"/>
    </row>
    <row r="202" spans="1:11" hidden="1" x14ac:dyDescent="0.3">
      <c r="A202" s="40" t="s">
        <v>464</v>
      </c>
      <c r="B202" s="41"/>
      <c r="C202" s="11" t="s">
        <v>16</v>
      </c>
      <c r="D202" s="11" t="s">
        <v>4</v>
      </c>
      <c r="E202" s="11" t="s">
        <v>17</v>
      </c>
      <c r="F202" s="11" t="s">
        <v>6</v>
      </c>
      <c r="G202" s="12" t="s">
        <v>7</v>
      </c>
    </row>
    <row r="203" spans="1:11" hidden="1" x14ac:dyDescent="0.3">
      <c r="A203" s="26" t="s">
        <v>279</v>
      </c>
      <c r="B203" s="27"/>
      <c r="C203" s="42">
        <v>1</v>
      </c>
      <c r="D203" s="42">
        <v>1</v>
      </c>
      <c r="E203" s="64">
        <v>0</v>
      </c>
      <c r="F203" s="44" cm="1">
        <f t="array" ref="F203">_xlfn.XLOOKUP($J$2&amp;$J$4&amp;$J$5,LISTS!$D$14:$D$28&amp;LISTS!$C$14:$C$28&amp;LISTS!$B$14:$B$28,LISTS!$E$14:$E$28)</f>
        <v>340</v>
      </c>
      <c r="G203" s="32">
        <f>+C203*D203*E203*F203</f>
        <v>0</v>
      </c>
      <c r="J203" s="122" t="e">
        <f>MROUND(SUM(#REF!,#REF!,#REF!,#REF!,#REF!),0.25)</f>
        <v>#REF!</v>
      </c>
      <c r="K203" t="s">
        <v>283</v>
      </c>
    </row>
    <row r="204" spans="1:11" ht="15" hidden="1" thickBot="1" x14ac:dyDescent="0.35">
      <c r="A204" s="14" t="s">
        <v>280</v>
      </c>
      <c r="B204" s="15"/>
      <c r="C204" s="58">
        <v>1</v>
      </c>
      <c r="D204" s="58">
        <v>1</v>
      </c>
      <c r="E204" s="65">
        <v>0</v>
      </c>
      <c r="F204" s="59">
        <f>IF(J167="Fire - Liberty Mutual/State Auto",100,_xlfn.XLOOKUP($J$4,LISTS!$B$32:$B$33,LISTS!$C$32:$C$33))</f>
        <v>185</v>
      </c>
      <c r="G204" s="60">
        <f>+C204*D204*E204*F204</f>
        <v>0</v>
      </c>
      <c r="J204" s="122" t="e">
        <f>MROUND(SUM(#REF!,#REF!,#REF!,#REF!,#REF!,#REF!,#REF!,#REF!),0.25)</f>
        <v>#REF!</v>
      </c>
      <c r="K204" t="s">
        <v>284</v>
      </c>
    </row>
    <row r="205" spans="1:11" hidden="1" x14ac:dyDescent="0.3">
      <c r="A205" s="27"/>
      <c r="B205" s="27"/>
      <c r="C205" s="182"/>
      <c r="D205" s="182"/>
      <c r="E205" s="63"/>
      <c r="F205" s="38"/>
      <c r="G205" s="61" cm="1">
        <f t="array" ref="G205">SUM(IFERROR(G203:G204,0))</f>
        <v>0</v>
      </c>
    </row>
    <row r="206" spans="1:11" ht="15" hidden="1" thickBot="1" x14ac:dyDescent="0.35">
      <c r="A206" s="273" t="str">
        <f>"Site Address: " &amp; 'PROJECT SUMMARY (Old)'!C55 &amp; " - " &amp; 'PROJECT SUMMARY (Old)'!D55</f>
        <v xml:space="preserve">Site Address:  - </v>
      </c>
      <c r="B206" s="273"/>
      <c r="C206" s="273"/>
      <c r="D206" s="273"/>
      <c r="E206" s="273"/>
      <c r="F206" s="273"/>
      <c r="G206" s="273"/>
      <c r="K206" s="86"/>
    </row>
    <row r="207" spans="1:11" hidden="1" x14ac:dyDescent="0.3">
      <c r="A207" s="40" t="s">
        <v>464</v>
      </c>
      <c r="B207" s="41"/>
      <c r="C207" s="11" t="s">
        <v>16</v>
      </c>
      <c r="D207" s="11" t="s">
        <v>4</v>
      </c>
      <c r="E207" s="11" t="s">
        <v>17</v>
      </c>
      <c r="F207" s="11" t="s">
        <v>6</v>
      </c>
      <c r="G207" s="12" t="s">
        <v>7</v>
      </c>
    </row>
    <row r="208" spans="1:11" hidden="1" x14ac:dyDescent="0.3">
      <c r="A208" s="26" t="s">
        <v>279</v>
      </c>
      <c r="B208" s="27"/>
      <c r="C208" s="42">
        <v>1</v>
      </c>
      <c r="D208" s="42">
        <v>1</v>
      </c>
      <c r="E208" s="64">
        <v>0</v>
      </c>
      <c r="F208" s="44" cm="1">
        <f t="array" ref="F208">_xlfn.XLOOKUP($J$2&amp;$J$4&amp;$J$5,LISTS!$D$14:$D$28&amp;LISTS!$C$14:$C$28&amp;LISTS!$B$14:$B$28,LISTS!$E$14:$E$28)</f>
        <v>340</v>
      </c>
      <c r="G208" s="32">
        <f>+C208*D208*E208*F208</f>
        <v>0</v>
      </c>
      <c r="J208" s="122" t="e">
        <f>MROUND(SUM(#REF!,#REF!,#REF!,#REF!,#REF!),0.25)</f>
        <v>#REF!</v>
      </c>
      <c r="K208" t="s">
        <v>283</v>
      </c>
    </row>
    <row r="209" spans="1:11" ht="15" hidden="1" thickBot="1" x14ac:dyDescent="0.35">
      <c r="A209" s="14" t="s">
        <v>280</v>
      </c>
      <c r="B209" s="15"/>
      <c r="C209" s="58">
        <v>1</v>
      </c>
      <c r="D209" s="58">
        <v>1</v>
      </c>
      <c r="E209" s="65">
        <v>0</v>
      </c>
      <c r="F209" s="59">
        <f>IF(J172="Fire - Liberty Mutual/State Auto",100,_xlfn.XLOOKUP($J$4,LISTS!$B$32:$B$33,LISTS!$C$32:$C$33))</f>
        <v>185</v>
      </c>
      <c r="G209" s="60">
        <f>+C209*D209*E209*F209</f>
        <v>0</v>
      </c>
      <c r="J209" s="122" t="e">
        <f>MROUND(SUM(#REF!,#REF!,#REF!,#REF!,#REF!,#REF!,#REF!,#REF!),0.25)</f>
        <v>#REF!</v>
      </c>
      <c r="K209" t="s">
        <v>284</v>
      </c>
    </row>
    <row r="210" spans="1:11" hidden="1" x14ac:dyDescent="0.3">
      <c r="A210" s="27"/>
      <c r="B210" s="27"/>
      <c r="C210" s="182"/>
      <c r="D210" s="182"/>
      <c r="E210" s="63"/>
      <c r="F210" s="38"/>
      <c r="G210" s="61" cm="1">
        <f t="array" ref="G210">SUM(IFERROR(G208:G209,0))</f>
        <v>0</v>
      </c>
    </row>
    <row r="211" spans="1:11" ht="15" hidden="1" thickBot="1" x14ac:dyDescent="0.35">
      <c r="A211" s="273" t="str">
        <f>"Site Address: " &amp; 'PROJECT SUMMARY (Old)'!C56 &amp; " - " &amp; 'PROJECT SUMMARY (Old)'!D56</f>
        <v xml:space="preserve">Site Address:  - </v>
      </c>
      <c r="B211" s="273"/>
      <c r="C211" s="273"/>
      <c r="D211" s="273"/>
      <c r="E211" s="273"/>
      <c r="F211" s="273"/>
      <c r="G211" s="273"/>
      <c r="K211" s="86"/>
    </row>
    <row r="212" spans="1:11" hidden="1" x14ac:dyDescent="0.3">
      <c r="A212" s="40" t="s">
        <v>464</v>
      </c>
      <c r="B212" s="41"/>
      <c r="C212" s="11" t="s">
        <v>16</v>
      </c>
      <c r="D212" s="11" t="s">
        <v>4</v>
      </c>
      <c r="E212" s="11" t="s">
        <v>17</v>
      </c>
      <c r="F212" s="11" t="s">
        <v>6</v>
      </c>
      <c r="G212" s="12" t="s">
        <v>7</v>
      </c>
    </row>
    <row r="213" spans="1:11" hidden="1" x14ac:dyDescent="0.3">
      <c r="A213" s="26" t="s">
        <v>279</v>
      </c>
      <c r="B213" s="27"/>
      <c r="C213" s="42">
        <v>1</v>
      </c>
      <c r="D213" s="42">
        <v>1</v>
      </c>
      <c r="E213" s="64">
        <v>0</v>
      </c>
      <c r="F213" s="44" cm="1">
        <f t="array" ref="F213">_xlfn.XLOOKUP($J$2&amp;$J$4&amp;$J$5,LISTS!$D$14:$D$28&amp;LISTS!$C$14:$C$28&amp;LISTS!$B$14:$B$28,LISTS!$E$14:$E$28)</f>
        <v>340</v>
      </c>
      <c r="G213" s="32">
        <f>+C213*D213*E213*F213</f>
        <v>0</v>
      </c>
      <c r="J213" s="122" t="e">
        <f>MROUND(SUM(#REF!,#REF!,#REF!,#REF!,#REF!),0.25)</f>
        <v>#REF!</v>
      </c>
      <c r="K213" t="s">
        <v>283</v>
      </c>
    </row>
    <row r="214" spans="1:11" ht="15" hidden="1" thickBot="1" x14ac:dyDescent="0.35">
      <c r="A214" s="14" t="s">
        <v>280</v>
      </c>
      <c r="B214" s="15"/>
      <c r="C214" s="58">
        <v>1</v>
      </c>
      <c r="D214" s="58">
        <v>1</v>
      </c>
      <c r="E214" s="65">
        <v>0</v>
      </c>
      <c r="F214" s="59">
        <f>IF(J177="Fire - Liberty Mutual/State Auto",100,_xlfn.XLOOKUP($J$4,LISTS!$B$32:$B$33,LISTS!$C$32:$C$33))</f>
        <v>185</v>
      </c>
      <c r="G214" s="60">
        <f>+C214*D214*E214*F214</f>
        <v>0</v>
      </c>
      <c r="J214" s="122" t="e">
        <f>MROUND(SUM(#REF!,#REF!,#REF!,#REF!,#REF!,#REF!,#REF!,#REF!),0.25)</f>
        <v>#REF!</v>
      </c>
      <c r="K214" t="s">
        <v>284</v>
      </c>
    </row>
    <row r="215" spans="1:11" hidden="1" x14ac:dyDescent="0.3">
      <c r="A215" s="27"/>
      <c r="B215" s="27"/>
      <c r="C215" s="182"/>
      <c r="D215" s="182"/>
      <c r="E215" s="63"/>
      <c r="F215" s="38"/>
      <c r="G215" s="61" cm="1">
        <f t="array" ref="G215">SUM(IFERROR(G213:G214,0))</f>
        <v>0</v>
      </c>
    </row>
    <row r="216" spans="1:11" ht="15" hidden="1" thickBot="1" x14ac:dyDescent="0.35">
      <c r="A216" s="273" t="str">
        <f>"Site Address: " &amp; 'PROJECT SUMMARY (Old)'!C57 &amp; " - " &amp; 'PROJECT SUMMARY (Old)'!D57</f>
        <v xml:space="preserve">Site Address:  - </v>
      </c>
      <c r="B216" s="273"/>
      <c r="C216" s="273"/>
      <c r="D216" s="273"/>
      <c r="E216" s="273"/>
      <c r="F216" s="273"/>
      <c r="G216" s="273"/>
      <c r="K216" s="86"/>
    </row>
    <row r="217" spans="1:11" hidden="1" x14ac:dyDescent="0.3">
      <c r="A217" s="40" t="s">
        <v>464</v>
      </c>
      <c r="B217" s="41"/>
      <c r="C217" s="11" t="s">
        <v>16</v>
      </c>
      <c r="D217" s="11" t="s">
        <v>4</v>
      </c>
      <c r="E217" s="11" t="s">
        <v>17</v>
      </c>
      <c r="F217" s="11" t="s">
        <v>6</v>
      </c>
      <c r="G217" s="12" t="s">
        <v>7</v>
      </c>
    </row>
    <row r="218" spans="1:11" hidden="1" x14ac:dyDescent="0.3">
      <c r="A218" s="26" t="s">
        <v>279</v>
      </c>
      <c r="B218" s="27"/>
      <c r="C218" s="42">
        <v>1</v>
      </c>
      <c r="D218" s="42">
        <v>1</v>
      </c>
      <c r="E218" s="64">
        <v>0</v>
      </c>
      <c r="F218" s="44" cm="1">
        <f t="array" ref="F218">_xlfn.XLOOKUP($J$2&amp;$J$4&amp;$J$5,LISTS!$D$14:$D$28&amp;LISTS!$C$14:$C$28&amp;LISTS!$B$14:$B$28,LISTS!$E$14:$E$28)</f>
        <v>340</v>
      </c>
      <c r="G218" s="32">
        <f>+C218*D218*E218*F218</f>
        <v>0</v>
      </c>
      <c r="J218" s="122" t="e">
        <f>MROUND(SUM(#REF!,#REF!,#REF!,#REF!,#REF!),0.25)</f>
        <v>#REF!</v>
      </c>
      <c r="K218" t="s">
        <v>283</v>
      </c>
    </row>
    <row r="219" spans="1:11" ht="15" hidden="1" thickBot="1" x14ac:dyDescent="0.35">
      <c r="A219" s="14" t="s">
        <v>280</v>
      </c>
      <c r="B219" s="15"/>
      <c r="C219" s="58">
        <v>1</v>
      </c>
      <c r="D219" s="58">
        <v>1</v>
      </c>
      <c r="E219" s="65">
        <v>0</v>
      </c>
      <c r="F219" s="59">
        <f>IF(J182="Fire - Liberty Mutual/State Auto",100,_xlfn.XLOOKUP($J$4,LISTS!$B$32:$B$33,LISTS!$C$32:$C$33))</f>
        <v>185</v>
      </c>
      <c r="G219" s="60">
        <f>+C219*D219*E219*F219</f>
        <v>0</v>
      </c>
      <c r="J219" s="122" t="e">
        <f>MROUND(SUM(#REF!,#REF!,#REF!,#REF!,#REF!,#REF!,#REF!,#REF!),0.25)</f>
        <v>#REF!</v>
      </c>
      <c r="K219" t="s">
        <v>284</v>
      </c>
    </row>
    <row r="220" spans="1:11" hidden="1" x14ac:dyDescent="0.3">
      <c r="A220" s="27"/>
      <c r="B220" s="27"/>
      <c r="C220" s="182"/>
      <c r="D220" s="182"/>
      <c r="E220" s="63"/>
      <c r="F220" s="38"/>
      <c r="G220" s="61" cm="1">
        <f t="array" ref="G220">SUM(IFERROR(G218:G219,0))</f>
        <v>0</v>
      </c>
    </row>
    <row r="221" spans="1:11" ht="15" hidden="1" thickBot="1" x14ac:dyDescent="0.35">
      <c r="A221" s="273" t="str">
        <f>"Site Address: " &amp; 'PROJECT SUMMARY (Old)'!C58 &amp; " - " &amp; 'PROJECT SUMMARY (Old)'!D58</f>
        <v xml:space="preserve">Site Address:  - </v>
      </c>
      <c r="B221" s="273"/>
      <c r="C221" s="273"/>
      <c r="D221" s="273"/>
      <c r="E221" s="273"/>
      <c r="F221" s="273"/>
      <c r="G221" s="273"/>
      <c r="K221" s="86"/>
    </row>
    <row r="222" spans="1:11" hidden="1" x14ac:dyDescent="0.3">
      <c r="A222" s="40" t="s">
        <v>464</v>
      </c>
      <c r="B222" s="41"/>
      <c r="C222" s="11" t="s">
        <v>16</v>
      </c>
      <c r="D222" s="11" t="s">
        <v>4</v>
      </c>
      <c r="E222" s="11" t="s">
        <v>17</v>
      </c>
      <c r="F222" s="11" t="s">
        <v>6</v>
      </c>
      <c r="G222" s="12" t="s">
        <v>7</v>
      </c>
    </row>
    <row r="223" spans="1:11" hidden="1" x14ac:dyDescent="0.3">
      <c r="A223" s="26" t="s">
        <v>279</v>
      </c>
      <c r="B223" s="27"/>
      <c r="C223" s="42">
        <v>1</v>
      </c>
      <c r="D223" s="42">
        <v>1</v>
      </c>
      <c r="E223" s="64">
        <v>0</v>
      </c>
      <c r="F223" s="44" cm="1">
        <f t="array" ref="F223">_xlfn.XLOOKUP($J$2&amp;$J$4&amp;$J$5,LISTS!$D$14:$D$28&amp;LISTS!$C$14:$C$28&amp;LISTS!$B$14:$B$28,LISTS!$E$14:$E$28)</f>
        <v>340</v>
      </c>
      <c r="G223" s="32">
        <f>+C223*D223*E223*F223</f>
        <v>0</v>
      </c>
      <c r="J223" s="122" t="e">
        <f>MROUND(SUM(#REF!,#REF!,#REF!,#REF!,#REF!),0.25)</f>
        <v>#REF!</v>
      </c>
      <c r="K223" t="s">
        <v>283</v>
      </c>
    </row>
    <row r="224" spans="1:11" ht="15" hidden="1" thickBot="1" x14ac:dyDescent="0.35">
      <c r="A224" s="14" t="s">
        <v>280</v>
      </c>
      <c r="B224" s="15"/>
      <c r="C224" s="58">
        <v>1</v>
      </c>
      <c r="D224" s="58">
        <v>1</v>
      </c>
      <c r="E224" s="65">
        <v>0</v>
      </c>
      <c r="F224" s="59">
        <f>IF(J187="Fire - Liberty Mutual/State Auto",100,_xlfn.XLOOKUP($J$4,LISTS!$B$32:$B$33,LISTS!$C$32:$C$33))</f>
        <v>185</v>
      </c>
      <c r="G224" s="60">
        <f>+C224*D224*E224*F224</f>
        <v>0</v>
      </c>
      <c r="J224" s="122" t="e">
        <f>MROUND(SUM(#REF!,#REF!,#REF!,#REF!,#REF!,#REF!,#REF!,#REF!),0.25)</f>
        <v>#REF!</v>
      </c>
      <c r="K224" t="s">
        <v>284</v>
      </c>
    </row>
    <row r="225" spans="1:11" hidden="1" x14ac:dyDescent="0.3">
      <c r="A225" s="27"/>
      <c r="B225" s="27"/>
      <c r="C225" s="182"/>
      <c r="D225" s="182"/>
      <c r="E225" s="63"/>
      <c r="F225" s="38"/>
      <c r="G225" s="61" cm="1">
        <f t="array" ref="G225">SUM(IFERROR(G223:G224,0))</f>
        <v>0</v>
      </c>
    </row>
    <row r="226" spans="1:11" ht="15" hidden="1" thickBot="1" x14ac:dyDescent="0.35">
      <c r="A226" s="273" t="str">
        <f>"Site Address: " &amp; 'PROJECT SUMMARY (Old)'!C59 &amp; " - " &amp; 'PROJECT SUMMARY (Old)'!D59</f>
        <v xml:space="preserve">Site Address:  - </v>
      </c>
      <c r="B226" s="273"/>
      <c r="C226" s="273"/>
      <c r="D226" s="273"/>
      <c r="E226" s="273"/>
      <c r="F226" s="273"/>
      <c r="G226" s="273"/>
      <c r="K226" s="86"/>
    </row>
    <row r="227" spans="1:11" hidden="1" x14ac:dyDescent="0.3">
      <c r="A227" s="40" t="s">
        <v>464</v>
      </c>
      <c r="B227" s="41"/>
      <c r="C227" s="11" t="s">
        <v>16</v>
      </c>
      <c r="D227" s="11" t="s">
        <v>4</v>
      </c>
      <c r="E227" s="11" t="s">
        <v>17</v>
      </c>
      <c r="F227" s="11" t="s">
        <v>6</v>
      </c>
      <c r="G227" s="12" t="s">
        <v>7</v>
      </c>
    </row>
    <row r="228" spans="1:11" hidden="1" x14ac:dyDescent="0.3">
      <c r="A228" s="26" t="s">
        <v>279</v>
      </c>
      <c r="B228" s="27"/>
      <c r="C228" s="42">
        <v>1</v>
      </c>
      <c r="D228" s="42">
        <v>1</v>
      </c>
      <c r="E228" s="64">
        <v>0</v>
      </c>
      <c r="F228" s="44" cm="1">
        <f t="array" ref="F228">_xlfn.XLOOKUP($J$2&amp;$J$4&amp;$J$5,LISTS!$D$14:$D$28&amp;LISTS!$C$14:$C$28&amp;LISTS!$B$14:$B$28,LISTS!$E$14:$E$28)</f>
        <v>340</v>
      </c>
      <c r="G228" s="32">
        <f>+C228*D228*E228*F228</f>
        <v>0</v>
      </c>
      <c r="J228" s="122" t="e">
        <f>MROUND(SUM(#REF!,#REF!,#REF!,#REF!,#REF!),0.25)</f>
        <v>#REF!</v>
      </c>
      <c r="K228" t="s">
        <v>283</v>
      </c>
    </row>
    <row r="229" spans="1:11" ht="15" hidden="1" thickBot="1" x14ac:dyDescent="0.35">
      <c r="A229" s="14" t="s">
        <v>280</v>
      </c>
      <c r="B229" s="15"/>
      <c r="C229" s="58">
        <v>1</v>
      </c>
      <c r="D229" s="58">
        <v>1</v>
      </c>
      <c r="E229" s="65">
        <v>0</v>
      </c>
      <c r="F229" s="59">
        <f>IF(J192="Fire - Liberty Mutual/State Auto",100,_xlfn.XLOOKUP($J$4,LISTS!$B$32:$B$33,LISTS!$C$32:$C$33))</f>
        <v>185</v>
      </c>
      <c r="G229" s="60">
        <f>+C229*D229*E229*F229</f>
        <v>0</v>
      </c>
      <c r="J229" s="122" t="e">
        <f>MROUND(SUM(#REF!,#REF!,#REF!,#REF!,#REF!,#REF!,#REF!,#REF!),0.25)</f>
        <v>#REF!</v>
      </c>
      <c r="K229" t="s">
        <v>284</v>
      </c>
    </row>
    <row r="230" spans="1:11" hidden="1" x14ac:dyDescent="0.3">
      <c r="A230" s="27"/>
      <c r="B230" s="27"/>
      <c r="C230" s="182"/>
      <c r="D230" s="182"/>
      <c r="E230" s="63"/>
      <c r="F230" s="38"/>
      <c r="G230" s="61" cm="1">
        <f t="array" ref="G230">SUM(IFERROR(G228:G229,0))</f>
        <v>0</v>
      </c>
    </row>
    <row r="231" spans="1:11" ht="15" hidden="1" thickBot="1" x14ac:dyDescent="0.35">
      <c r="A231" s="273" t="str">
        <f>"Site Address: " &amp; 'PROJECT SUMMARY (Old)'!C60 &amp; " - " &amp; 'PROJECT SUMMARY (Old)'!D60</f>
        <v xml:space="preserve">Site Address:  - </v>
      </c>
      <c r="B231" s="273"/>
      <c r="C231" s="273"/>
      <c r="D231" s="273"/>
      <c r="E231" s="273"/>
      <c r="F231" s="273"/>
      <c r="G231" s="273"/>
      <c r="K231" s="86"/>
    </row>
    <row r="232" spans="1:11" hidden="1" x14ac:dyDescent="0.3">
      <c r="A232" s="40" t="s">
        <v>464</v>
      </c>
      <c r="B232" s="41"/>
      <c r="C232" s="11" t="s">
        <v>16</v>
      </c>
      <c r="D232" s="11" t="s">
        <v>4</v>
      </c>
      <c r="E232" s="11" t="s">
        <v>17</v>
      </c>
      <c r="F232" s="11" t="s">
        <v>6</v>
      </c>
      <c r="G232" s="12" t="s">
        <v>7</v>
      </c>
    </row>
    <row r="233" spans="1:11" hidden="1" x14ac:dyDescent="0.3">
      <c r="A233" s="26" t="s">
        <v>279</v>
      </c>
      <c r="B233" s="27"/>
      <c r="C233" s="42">
        <v>1</v>
      </c>
      <c r="D233" s="42">
        <v>1</v>
      </c>
      <c r="E233" s="64">
        <v>0</v>
      </c>
      <c r="F233" s="44" cm="1">
        <f t="array" ref="F233">_xlfn.XLOOKUP($J$2&amp;$J$4&amp;$J$5,LISTS!$D$14:$D$28&amp;LISTS!$C$14:$C$28&amp;LISTS!$B$14:$B$28,LISTS!$E$14:$E$28)</f>
        <v>340</v>
      </c>
      <c r="G233" s="32">
        <f>+C233*D233*E233*F233</f>
        <v>0</v>
      </c>
      <c r="J233" s="122" t="e">
        <f>MROUND(SUM(#REF!,#REF!,#REF!,#REF!,#REF!),0.25)</f>
        <v>#REF!</v>
      </c>
      <c r="K233" t="s">
        <v>283</v>
      </c>
    </row>
    <row r="234" spans="1:11" ht="15" hidden="1" thickBot="1" x14ac:dyDescent="0.35">
      <c r="A234" s="14" t="s">
        <v>280</v>
      </c>
      <c r="B234" s="15"/>
      <c r="C234" s="58">
        <v>1</v>
      </c>
      <c r="D234" s="58">
        <v>1</v>
      </c>
      <c r="E234" s="65">
        <v>0</v>
      </c>
      <c r="F234" s="59">
        <f>IF(J197="Fire - Liberty Mutual/State Auto",100,_xlfn.XLOOKUP($J$4,LISTS!$B$32:$B$33,LISTS!$C$32:$C$33))</f>
        <v>185</v>
      </c>
      <c r="G234" s="60">
        <f>+C234*D234*E234*F234</f>
        <v>0</v>
      </c>
      <c r="J234" s="122" t="e">
        <f>MROUND(SUM(#REF!,#REF!,#REF!,#REF!,#REF!,#REF!,#REF!,#REF!),0.25)</f>
        <v>#REF!</v>
      </c>
      <c r="K234" t="s">
        <v>284</v>
      </c>
    </row>
    <row r="235" spans="1:11" hidden="1" x14ac:dyDescent="0.3">
      <c r="A235" s="27"/>
      <c r="B235" s="27"/>
      <c r="C235" s="182"/>
      <c r="D235" s="182"/>
      <c r="E235" s="63"/>
      <c r="F235" s="38"/>
      <c r="G235" s="61" cm="1">
        <f t="array" ref="G235">SUM(IFERROR(G233:G234,0))</f>
        <v>0</v>
      </c>
    </row>
    <row r="236" spans="1:11" ht="15" hidden="1" thickBot="1" x14ac:dyDescent="0.35">
      <c r="A236" s="273" t="str">
        <f>"Site Address: " &amp; 'PROJECT SUMMARY (Old)'!C61 &amp; " - " &amp; 'PROJECT SUMMARY (Old)'!D61</f>
        <v xml:space="preserve">Site Address:  - </v>
      </c>
      <c r="B236" s="273"/>
      <c r="C236" s="273"/>
      <c r="D236" s="273"/>
      <c r="E236" s="273"/>
      <c r="F236" s="273"/>
      <c r="G236" s="273"/>
      <c r="K236" s="86"/>
    </row>
    <row r="237" spans="1:11" hidden="1" x14ac:dyDescent="0.3">
      <c r="A237" s="40" t="s">
        <v>464</v>
      </c>
      <c r="B237" s="41"/>
      <c r="C237" s="11" t="s">
        <v>16</v>
      </c>
      <c r="D237" s="11" t="s">
        <v>4</v>
      </c>
      <c r="E237" s="11" t="s">
        <v>17</v>
      </c>
      <c r="F237" s="11" t="s">
        <v>6</v>
      </c>
      <c r="G237" s="12" t="s">
        <v>7</v>
      </c>
    </row>
    <row r="238" spans="1:11" hidden="1" x14ac:dyDescent="0.3">
      <c r="A238" s="26" t="s">
        <v>279</v>
      </c>
      <c r="B238" s="27"/>
      <c r="C238" s="42">
        <v>1</v>
      </c>
      <c r="D238" s="42">
        <v>1</v>
      </c>
      <c r="E238" s="64">
        <v>0</v>
      </c>
      <c r="F238" s="44" cm="1">
        <f t="array" ref="F238">_xlfn.XLOOKUP($J$2&amp;$J$4&amp;$J$5,LISTS!$D$14:$D$28&amp;LISTS!$C$14:$C$28&amp;LISTS!$B$14:$B$28,LISTS!$E$14:$E$28)</f>
        <v>340</v>
      </c>
      <c r="G238" s="32">
        <f>+C238*D238*E238*F238</f>
        <v>0</v>
      </c>
      <c r="J238" s="122" t="e">
        <f>MROUND(SUM(#REF!,#REF!,#REF!,#REF!,#REF!),0.25)</f>
        <v>#REF!</v>
      </c>
      <c r="K238" t="s">
        <v>283</v>
      </c>
    </row>
    <row r="239" spans="1:11" ht="15" hidden="1" thickBot="1" x14ac:dyDescent="0.35">
      <c r="A239" s="14" t="s">
        <v>280</v>
      </c>
      <c r="B239" s="15"/>
      <c r="C239" s="58">
        <v>1</v>
      </c>
      <c r="D239" s="58">
        <v>1</v>
      </c>
      <c r="E239" s="65">
        <v>0</v>
      </c>
      <c r="F239" s="59">
        <f>IF(J202="Fire - Liberty Mutual/State Auto",100,_xlfn.XLOOKUP($J$4,LISTS!$B$32:$B$33,LISTS!$C$32:$C$33))</f>
        <v>185</v>
      </c>
      <c r="G239" s="60">
        <f>+C239*D239*E239*F239</f>
        <v>0</v>
      </c>
      <c r="J239" s="122" t="e">
        <f>MROUND(SUM(#REF!,#REF!,#REF!,#REF!,#REF!,#REF!,#REF!,#REF!),0.25)</f>
        <v>#REF!</v>
      </c>
      <c r="K239" t="s">
        <v>284</v>
      </c>
    </row>
    <row r="240" spans="1:11" hidden="1" x14ac:dyDescent="0.3">
      <c r="A240" s="27"/>
      <c r="B240" s="27"/>
      <c r="C240" s="182"/>
      <c r="D240" s="182"/>
      <c r="E240" s="63"/>
      <c r="F240" s="38"/>
      <c r="G240" s="61" cm="1">
        <f t="array" ref="G240">SUM(IFERROR(G238:G239,0))</f>
        <v>0</v>
      </c>
    </row>
    <row r="241" spans="1:11" ht="15" hidden="1" thickBot="1" x14ac:dyDescent="0.35">
      <c r="A241" s="273" t="str">
        <f>"Site Address: " &amp; 'PROJECT SUMMARY (Old)'!C62 &amp; " - " &amp; 'PROJECT SUMMARY (Old)'!D62</f>
        <v xml:space="preserve">Site Address:  - </v>
      </c>
      <c r="B241" s="273"/>
      <c r="C241" s="273"/>
      <c r="D241" s="273"/>
      <c r="E241" s="273"/>
      <c r="F241" s="273"/>
      <c r="G241" s="273"/>
      <c r="K241" s="86"/>
    </row>
    <row r="242" spans="1:11" hidden="1" x14ac:dyDescent="0.3">
      <c r="A242" s="40" t="s">
        <v>464</v>
      </c>
      <c r="B242" s="41"/>
      <c r="C242" s="11" t="s">
        <v>16</v>
      </c>
      <c r="D242" s="11" t="s">
        <v>4</v>
      </c>
      <c r="E242" s="11" t="s">
        <v>17</v>
      </c>
      <c r="F242" s="11" t="s">
        <v>6</v>
      </c>
      <c r="G242" s="12" t="s">
        <v>7</v>
      </c>
    </row>
    <row r="243" spans="1:11" hidden="1" x14ac:dyDescent="0.3">
      <c r="A243" s="26" t="s">
        <v>279</v>
      </c>
      <c r="B243" s="27"/>
      <c r="C243" s="42">
        <v>1</v>
      </c>
      <c r="D243" s="42">
        <v>1</v>
      </c>
      <c r="E243" s="64">
        <v>0</v>
      </c>
      <c r="F243" s="44" cm="1">
        <f t="array" ref="F243">_xlfn.XLOOKUP($J$2&amp;$J$4&amp;$J$5,LISTS!$D$14:$D$28&amp;LISTS!$C$14:$C$28&amp;LISTS!$B$14:$B$28,LISTS!$E$14:$E$28)</f>
        <v>340</v>
      </c>
      <c r="G243" s="32">
        <f>+C243*D243*E243*F243</f>
        <v>0</v>
      </c>
      <c r="J243" s="122" t="e">
        <f>MROUND(SUM(#REF!,#REF!,#REF!,#REF!,#REF!),0.25)</f>
        <v>#REF!</v>
      </c>
      <c r="K243" t="s">
        <v>283</v>
      </c>
    </row>
    <row r="244" spans="1:11" ht="15" hidden="1" thickBot="1" x14ac:dyDescent="0.35">
      <c r="A244" s="14" t="s">
        <v>280</v>
      </c>
      <c r="B244" s="15"/>
      <c r="C244" s="58">
        <v>1</v>
      </c>
      <c r="D244" s="58">
        <v>1</v>
      </c>
      <c r="E244" s="65">
        <v>0</v>
      </c>
      <c r="F244" s="59">
        <f>IF(J207="Fire - Liberty Mutual/State Auto",100,_xlfn.XLOOKUP($J$4,LISTS!$B$32:$B$33,LISTS!$C$32:$C$33))</f>
        <v>185</v>
      </c>
      <c r="G244" s="60">
        <f>+C244*D244*E244*F244</f>
        <v>0</v>
      </c>
      <c r="J244" s="122" t="e">
        <f>MROUND(SUM(#REF!,#REF!,#REF!,#REF!,#REF!,#REF!,#REF!,#REF!),0.25)</f>
        <v>#REF!</v>
      </c>
      <c r="K244" t="s">
        <v>284</v>
      </c>
    </row>
    <row r="245" spans="1:11" hidden="1" x14ac:dyDescent="0.3">
      <c r="A245" s="27"/>
      <c r="B245" s="27"/>
      <c r="C245" s="182"/>
      <c r="D245" s="182"/>
      <c r="E245" s="63"/>
      <c r="F245" s="38"/>
      <c r="G245" s="61" cm="1">
        <f t="array" ref="G245">SUM(IFERROR(G243:G244,0))</f>
        <v>0</v>
      </c>
    </row>
    <row r="246" spans="1:11" ht="15" hidden="1" thickBot="1" x14ac:dyDescent="0.35">
      <c r="A246" s="273" t="str">
        <f>"Site Address: " &amp; 'PROJECT SUMMARY (Old)'!C63 &amp; " - " &amp; 'PROJECT SUMMARY (Old)'!D63</f>
        <v xml:space="preserve">Site Address:  - </v>
      </c>
      <c r="B246" s="273"/>
      <c r="C246" s="273"/>
      <c r="D246" s="273"/>
      <c r="E246" s="273"/>
      <c r="F246" s="273"/>
      <c r="G246" s="273"/>
      <c r="K246" s="86"/>
    </row>
    <row r="247" spans="1:11" hidden="1" x14ac:dyDescent="0.3">
      <c r="A247" s="40" t="s">
        <v>464</v>
      </c>
      <c r="B247" s="41"/>
      <c r="C247" s="11" t="s">
        <v>16</v>
      </c>
      <c r="D247" s="11" t="s">
        <v>4</v>
      </c>
      <c r="E247" s="11" t="s">
        <v>17</v>
      </c>
      <c r="F247" s="11" t="s">
        <v>6</v>
      </c>
      <c r="G247" s="12" t="s">
        <v>7</v>
      </c>
    </row>
    <row r="248" spans="1:11" hidden="1" x14ac:dyDescent="0.3">
      <c r="A248" s="26" t="s">
        <v>279</v>
      </c>
      <c r="B248" s="27"/>
      <c r="C248" s="42">
        <v>1</v>
      </c>
      <c r="D248" s="42">
        <v>1</v>
      </c>
      <c r="E248" s="64">
        <v>0</v>
      </c>
      <c r="F248" s="44" cm="1">
        <f t="array" ref="F248">_xlfn.XLOOKUP($J$2&amp;$J$4&amp;$J$5,LISTS!$D$14:$D$28&amp;LISTS!$C$14:$C$28&amp;LISTS!$B$14:$B$28,LISTS!$E$14:$E$28)</f>
        <v>340</v>
      </c>
      <c r="G248" s="32">
        <f>+C248*D248*E248*F248</f>
        <v>0</v>
      </c>
      <c r="J248" s="122" t="e">
        <f>MROUND(SUM(#REF!,#REF!,#REF!,#REF!,#REF!),0.25)</f>
        <v>#REF!</v>
      </c>
      <c r="K248" t="s">
        <v>283</v>
      </c>
    </row>
    <row r="249" spans="1:11" ht="15" hidden="1" thickBot="1" x14ac:dyDescent="0.35">
      <c r="A249" s="14" t="s">
        <v>280</v>
      </c>
      <c r="B249" s="15"/>
      <c r="C249" s="58">
        <v>1</v>
      </c>
      <c r="D249" s="58">
        <v>1</v>
      </c>
      <c r="E249" s="65">
        <v>0</v>
      </c>
      <c r="F249" s="59">
        <f>IF(J212="Fire - Liberty Mutual/State Auto",100,_xlfn.XLOOKUP($J$4,LISTS!$B$32:$B$33,LISTS!$C$32:$C$33))</f>
        <v>185</v>
      </c>
      <c r="G249" s="60">
        <f>+C249*D249*E249*F249</f>
        <v>0</v>
      </c>
      <c r="J249" s="122" t="e">
        <f>MROUND(SUM(#REF!,#REF!,#REF!,#REF!,#REF!,#REF!,#REF!,#REF!),0.25)</f>
        <v>#REF!</v>
      </c>
      <c r="K249" t="s">
        <v>284</v>
      </c>
    </row>
    <row r="250" spans="1:11" hidden="1" x14ac:dyDescent="0.3">
      <c r="A250" s="27"/>
      <c r="B250" s="27"/>
      <c r="C250" s="182"/>
      <c r="D250" s="182"/>
      <c r="E250" s="63"/>
      <c r="F250" s="38"/>
      <c r="G250" s="61" cm="1">
        <f t="array" ref="G250">SUM(IFERROR(G248:G249,0))</f>
        <v>0</v>
      </c>
    </row>
    <row r="251" spans="1:11" ht="15" hidden="1" thickBot="1" x14ac:dyDescent="0.35">
      <c r="A251" s="273" t="str">
        <f>"Site Address: " &amp; 'PROJECT SUMMARY (Old)'!C64 &amp; " - " &amp; 'PROJECT SUMMARY (Old)'!D64</f>
        <v xml:space="preserve">Site Address:  - </v>
      </c>
      <c r="B251" s="273"/>
      <c r="C251" s="273"/>
      <c r="D251" s="273"/>
      <c r="E251" s="273"/>
      <c r="F251" s="273"/>
      <c r="G251" s="273"/>
      <c r="K251" s="86"/>
    </row>
    <row r="252" spans="1:11" hidden="1" x14ac:dyDescent="0.3">
      <c r="A252" s="40" t="s">
        <v>464</v>
      </c>
      <c r="B252" s="41"/>
      <c r="C252" s="11" t="s">
        <v>16</v>
      </c>
      <c r="D252" s="11" t="s">
        <v>4</v>
      </c>
      <c r="E252" s="11" t="s">
        <v>17</v>
      </c>
      <c r="F252" s="11" t="s">
        <v>6</v>
      </c>
      <c r="G252" s="12" t="s">
        <v>7</v>
      </c>
    </row>
    <row r="253" spans="1:11" hidden="1" x14ac:dyDescent="0.3">
      <c r="A253" s="26" t="s">
        <v>279</v>
      </c>
      <c r="B253" s="27"/>
      <c r="C253" s="42">
        <v>1</v>
      </c>
      <c r="D253" s="42">
        <v>1</v>
      </c>
      <c r="E253" s="64">
        <v>0</v>
      </c>
      <c r="F253" s="44" cm="1">
        <f t="array" ref="F253">_xlfn.XLOOKUP($J$2&amp;$J$4&amp;$J$5,LISTS!$D$14:$D$28&amp;LISTS!$C$14:$C$28&amp;LISTS!$B$14:$B$28,LISTS!$E$14:$E$28)</f>
        <v>340</v>
      </c>
      <c r="G253" s="32">
        <f>+C253*D253*E253*F253</f>
        <v>0</v>
      </c>
      <c r="J253" s="122" t="e">
        <f>MROUND(SUM(#REF!,#REF!,#REF!,#REF!,#REF!),0.25)</f>
        <v>#REF!</v>
      </c>
      <c r="K253" t="s">
        <v>283</v>
      </c>
    </row>
    <row r="254" spans="1:11" ht="15" hidden="1" thickBot="1" x14ac:dyDescent="0.35">
      <c r="A254" s="14" t="s">
        <v>280</v>
      </c>
      <c r="B254" s="15"/>
      <c r="C254" s="58">
        <v>1</v>
      </c>
      <c r="D254" s="58">
        <v>1</v>
      </c>
      <c r="E254" s="65">
        <v>0</v>
      </c>
      <c r="F254" s="59">
        <f>IF(J217="Fire - Liberty Mutual/State Auto",100,_xlfn.XLOOKUP($J$4,LISTS!$B$32:$B$33,LISTS!$C$32:$C$33))</f>
        <v>185</v>
      </c>
      <c r="G254" s="60">
        <f>+C254*D254*E254*F254</f>
        <v>0</v>
      </c>
      <c r="J254" s="122" t="e">
        <f>MROUND(SUM(#REF!,#REF!,#REF!,#REF!,#REF!,#REF!,#REF!,#REF!),0.25)</f>
        <v>#REF!</v>
      </c>
      <c r="K254" t="s">
        <v>284</v>
      </c>
    </row>
    <row r="255" spans="1:11" hidden="1" x14ac:dyDescent="0.3">
      <c r="A255" s="27"/>
      <c r="B255" s="27"/>
      <c r="C255" s="182"/>
      <c r="D255" s="182"/>
      <c r="E255" s="63"/>
      <c r="F255" s="38"/>
      <c r="G255" s="61" cm="1">
        <f t="array" ref="G255">SUM(IFERROR(G253:G254,0))</f>
        <v>0</v>
      </c>
    </row>
    <row r="256" spans="1:11" ht="15" hidden="1" thickBot="1" x14ac:dyDescent="0.35">
      <c r="A256" s="273" t="str">
        <f>"Site Address: " &amp; 'PROJECT SUMMARY (Old)'!C65 &amp; " - " &amp; 'PROJECT SUMMARY (Old)'!D65</f>
        <v xml:space="preserve">Site Address:  - </v>
      </c>
      <c r="B256" s="273"/>
      <c r="C256" s="273"/>
      <c r="D256" s="273"/>
      <c r="E256" s="273"/>
      <c r="F256" s="273"/>
      <c r="G256" s="273"/>
      <c r="K256" s="86"/>
    </row>
    <row r="257" spans="1:11" hidden="1" x14ac:dyDescent="0.3">
      <c r="A257" s="40" t="s">
        <v>464</v>
      </c>
      <c r="B257" s="41"/>
      <c r="C257" s="11" t="s">
        <v>16</v>
      </c>
      <c r="D257" s="11" t="s">
        <v>4</v>
      </c>
      <c r="E257" s="11" t="s">
        <v>17</v>
      </c>
      <c r="F257" s="11" t="s">
        <v>6</v>
      </c>
      <c r="G257" s="12" t="s">
        <v>7</v>
      </c>
    </row>
    <row r="258" spans="1:11" hidden="1" x14ac:dyDescent="0.3">
      <c r="A258" s="26" t="s">
        <v>279</v>
      </c>
      <c r="B258" s="27"/>
      <c r="C258" s="42">
        <v>1</v>
      </c>
      <c r="D258" s="42">
        <v>1</v>
      </c>
      <c r="E258" s="64">
        <v>0</v>
      </c>
      <c r="F258" s="44" cm="1">
        <f t="array" ref="F258">_xlfn.XLOOKUP($J$2&amp;$J$4&amp;$J$5,LISTS!$D$14:$D$28&amp;LISTS!$C$14:$C$28&amp;LISTS!$B$14:$B$28,LISTS!$E$14:$E$28)</f>
        <v>340</v>
      </c>
      <c r="G258" s="32">
        <f>+C258*D258*E258*F258</f>
        <v>0</v>
      </c>
      <c r="J258" s="122" t="e">
        <f>MROUND(SUM(#REF!,#REF!,#REF!,#REF!,#REF!),0.25)</f>
        <v>#REF!</v>
      </c>
      <c r="K258" t="s">
        <v>283</v>
      </c>
    </row>
    <row r="259" spans="1:11" ht="15" hidden="1" thickBot="1" x14ac:dyDescent="0.35">
      <c r="A259" s="14" t="s">
        <v>280</v>
      </c>
      <c r="B259" s="15"/>
      <c r="C259" s="58">
        <v>1</v>
      </c>
      <c r="D259" s="58">
        <v>1</v>
      </c>
      <c r="E259" s="65">
        <v>0</v>
      </c>
      <c r="F259" s="59">
        <f>IF(J222="Fire - Liberty Mutual/State Auto",100,_xlfn.XLOOKUP($J$4,LISTS!$B$32:$B$33,LISTS!$C$32:$C$33))</f>
        <v>185</v>
      </c>
      <c r="G259" s="60">
        <f>+C259*D259*E259*F259</f>
        <v>0</v>
      </c>
      <c r="J259" s="122" t="e">
        <f>MROUND(SUM(#REF!,#REF!,#REF!,#REF!,#REF!,#REF!,#REF!,#REF!),0.25)</f>
        <v>#REF!</v>
      </c>
      <c r="K259" t="s">
        <v>284</v>
      </c>
    </row>
    <row r="260" spans="1:11" hidden="1" x14ac:dyDescent="0.3">
      <c r="B260" s="27"/>
      <c r="C260" s="182"/>
      <c r="D260" s="182"/>
      <c r="E260" s="63"/>
      <c r="F260" s="38"/>
      <c r="G260" s="61" cm="1">
        <f t="array" ref="G260">SUM(IFERROR(G258:G259,0))</f>
        <v>0</v>
      </c>
    </row>
    <row r="261" spans="1:11" ht="15" hidden="1" thickBot="1" x14ac:dyDescent="0.35">
      <c r="A261" s="273" t="str">
        <f>"Site Address: " &amp; 'PROJECT SUMMARY (Old)'!C66 &amp; " - " &amp; 'PROJECT SUMMARY (Old)'!D66</f>
        <v xml:space="preserve">Site Address:  - </v>
      </c>
      <c r="B261" s="273"/>
      <c r="C261" s="273"/>
      <c r="D261" s="273"/>
      <c r="E261" s="273"/>
      <c r="F261" s="273"/>
      <c r="G261" s="273"/>
      <c r="K261" s="86"/>
    </row>
    <row r="262" spans="1:11" hidden="1" x14ac:dyDescent="0.3">
      <c r="A262" s="40" t="s">
        <v>464</v>
      </c>
      <c r="B262" s="41"/>
      <c r="C262" s="11" t="s">
        <v>16</v>
      </c>
      <c r="D262" s="11" t="s">
        <v>4</v>
      </c>
      <c r="E262" s="11" t="s">
        <v>17</v>
      </c>
      <c r="F262" s="11" t="s">
        <v>6</v>
      </c>
      <c r="G262" s="12" t="s">
        <v>7</v>
      </c>
    </row>
    <row r="263" spans="1:11" hidden="1" x14ac:dyDescent="0.3">
      <c r="A263" s="26" t="s">
        <v>279</v>
      </c>
      <c r="B263" s="27"/>
      <c r="C263" s="42">
        <v>1</v>
      </c>
      <c r="D263" s="42">
        <v>1</v>
      </c>
      <c r="E263" s="64">
        <v>0</v>
      </c>
      <c r="F263" s="44" cm="1">
        <f t="array" ref="F263">_xlfn.XLOOKUP($J$2&amp;$J$4&amp;$J$5,LISTS!$D$14:$D$28&amp;LISTS!$C$14:$C$28&amp;LISTS!$B$14:$B$28,LISTS!$E$14:$E$28)</f>
        <v>340</v>
      </c>
      <c r="G263" s="32">
        <f>+C263*D263*E263*F263</f>
        <v>0</v>
      </c>
      <c r="J263" s="122" t="e">
        <f>MROUND(SUM(#REF!,#REF!,#REF!,#REF!,#REF!),0.25)</f>
        <v>#REF!</v>
      </c>
      <c r="K263" t="s">
        <v>283</v>
      </c>
    </row>
    <row r="264" spans="1:11" ht="15" hidden="1" thickBot="1" x14ac:dyDescent="0.35">
      <c r="A264" s="14" t="s">
        <v>280</v>
      </c>
      <c r="B264" s="15"/>
      <c r="C264" s="58">
        <v>1</v>
      </c>
      <c r="D264" s="58">
        <v>1</v>
      </c>
      <c r="E264" s="65">
        <v>0</v>
      </c>
      <c r="F264" s="59">
        <f>IF(J227="Fire - Liberty Mutual/State Auto",100,_xlfn.XLOOKUP($J$4,LISTS!$B$32:$B$33,LISTS!$C$32:$C$33))</f>
        <v>185</v>
      </c>
      <c r="G264" s="60">
        <f>+C264*D264*E264*F264</f>
        <v>0</v>
      </c>
      <c r="J264" s="122" t="e">
        <f>MROUND(SUM(#REF!,#REF!,#REF!,#REF!,#REF!,#REF!,#REF!,#REF!),0.25)</f>
        <v>#REF!</v>
      </c>
      <c r="K264" t="s">
        <v>284</v>
      </c>
    </row>
    <row r="265" spans="1:11" hidden="1" x14ac:dyDescent="0.3">
      <c r="A265" s="27"/>
      <c r="B265" s="27"/>
      <c r="C265" s="182"/>
      <c r="D265" s="182"/>
      <c r="E265" s="63"/>
      <c r="F265" s="38"/>
      <c r="G265" s="61" cm="1">
        <f t="array" ref="G265">SUM(IFERROR(G263:G264,0))</f>
        <v>0</v>
      </c>
    </row>
    <row r="266" spans="1:11" ht="15" hidden="1" thickBot="1" x14ac:dyDescent="0.35">
      <c r="A266" s="273" t="str">
        <f>"Site Address: " &amp; 'PROJECT SUMMARY (Old)'!C67 &amp; " - " &amp; 'PROJECT SUMMARY (Old)'!D67</f>
        <v xml:space="preserve">Site Address:  - </v>
      </c>
      <c r="B266" s="273"/>
      <c r="C266" s="273"/>
      <c r="D266" s="273"/>
      <c r="E266" s="273"/>
      <c r="F266" s="273"/>
      <c r="G266" s="273"/>
      <c r="K266" s="86"/>
    </row>
    <row r="267" spans="1:11" hidden="1" x14ac:dyDescent="0.3">
      <c r="A267" s="40" t="s">
        <v>464</v>
      </c>
      <c r="B267" s="41"/>
      <c r="C267" s="11" t="s">
        <v>16</v>
      </c>
      <c r="D267" s="11" t="s">
        <v>4</v>
      </c>
      <c r="E267" s="11" t="s">
        <v>17</v>
      </c>
      <c r="F267" s="11" t="s">
        <v>6</v>
      </c>
      <c r="G267" s="12" t="s">
        <v>7</v>
      </c>
    </row>
    <row r="268" spans="1:11" hidden="1" x14ac:dyDescent="0.3">
      <c r="A268" s="26" t="s">
        <v>279</v>
      </c>
      <c r="B268" s="27"/>
      <c r="C268" s="42">
        <v>1</v>
      </c>
      <c r="D268" s="42">
        <v>1</v>
      </c>
      <c r="E268" s="64">
        <v>0</v>
      </c>
      <c r="F268" s="44" cm="1">
        <f t="array" ref="F268">_xlfn.XLOOKUP($J$2&amp;$J$4&amp;$J$5,LISTS!$D$14:$D$28&amp;LISTS!$C$14:$C$28&amp;LISTS!$B$14:$B$28,LISTS!$E$14:$E$28)</f>
        <v>340</v>
      </c>
      <c r="G268" s="32">
        <f>+C268*D268*E268*F268</f>
        <v>0</v>
      </c>
      <c r="J268" s="122" t="e">
        <f>MROUND(SUM(#REF!,#REF!,#REF!,#REF!,#REF!),0.25)</f>
        <v>#REF!</v>
      </c>
      <c r="K268" t="s">
        <v>283</v>
      </c>
    </row>
    <row r="269" spans="1:11" ht="15" hidden="1" thickBot="1" x14ac:dyDescent="0.35">
      <c r="A269" s="14" t="s">
        <v>280</v>
      </c>
      <c r="B269" s="15"/>
      <c r="C269" s="58">
        <v>1</v>
      </c>
      <c r="D269" s="58">
        <v>1</v>
      </c>
      <c r="E269" s="65">
        <v>0</v>
      </c>
      <c r="F269" s="59">
        <f>IF(J232="Fire - Liberty Mutual/State Auto",100,_xlfn.XLOOKUP($J$4,LISTS!$B$32:$B$33,LISTS!$C$32:$C$33))</f>
        <v>185</v>
      </c>
      <c r="G269" s="60">
        <f>+C269*D269*E269*F269</f>
        <v>0</v>
      </c>
      <c r="J269" s="122" t="e">
        <f>MROUND(SUM(#REF!,#REF!,#REF!,#REF!,#REF!,#REF!,#REF!,#REF!),0.25)</f>
        <v>#REF!</v>
      </c>
      <c r="K269" t="s">
        <v>284</v>
      </c>
    </row>
    <row r="270" spans="1:11" hidden="1" x14ac:dyDescent="0.3">
      <c r="A270" s="27"/>
      <c r="B270" s="27"/>
      <c r="C270" s="182"/>
      <c r="D270" s="182"/>
      <c r="E270" s="63"/>
      <c r="F270" s="38"/>
      <c r="G270" s="61" cm="1">
        <f t="array" ref="G270">SUM(IFERROR(G268:G269,0))</f>
        <v>0</v>
      </c>
    </row>
    <row r="271" spans="1:11" ht="15" hidden="1" thickBot="1" x14ac:dyDescent="0.35">
      <c r="A271" s="273" t="str">
        <f>"Site Address: " &amp; 'PROJECT SUMMARY (Old)'!C68 &amp; " - " &amp; 'PROJECT SUMMARY (Old)'!D68</f>
        <v xml:space="preserve">Site Address:  - </v>
      </c>
      <c r="B271" s="273"/>
      <c r="C271" s="273"/>
      <c r="D271" s="273"/>
      <c r="E271" s="273"/>
      <c r="F271" s="273"/>
      <c r="G271" s="273"/>
      <c r="K271" s="86"/>
    </row>
    <row r="272" spans="1:11" hidden="1" x14ac:dyDescent="0.3">
      <c r="A272" s="40" t="s">
        <v>464</v>
      </c>
      <c r="B272" s="41"/>
      <c r="C272" s="11" t="s">
        <v>16</v>
      </c>
      <c r="D272" s="11" t="s">
        <v>4</v>
      </c>
      <c r="E272" s="11" t="s">
        <v>17</v>
      </c>
      <c r="F272" s="11" t="s">
        <v>6</v>
      </c>
      <c r="G272" s="12" t="s">
        <v>7</v>
      </c>
    </row>
    <row r="273" spans="1:11" hidden="1" x14ac:dyDescent="0.3">
      <c r="A273" s="26" t="s">
        <v>279</v>
      </c>
      <c r="B273" s="27"/>
      <c r="C273" s="42">
        <v>1</v>
      </c>
      <c r="D273" s="42">
        <v>1</v>
      </c>
      <c r="E273" s="64">
        <v>0</v>
      </c>
      <c r="F273" s="44" cm="1">
        <f t="array" ref="F273">_xlfn.XLOOKUP($J$2&amp;$J$4&amp;$J$5,LISTS!$D$14:$D$28&amp;LISTS!$C$14:$C$28&amp;LISTS!$B$14:$B$28,LISTS!$E$14:$E$28)</f>
        <v>340</v>
      </c>
      <c r="G273" s="32">
        <f>+C273*D273*E273*F273</f>
        <v>0</v>
      </c>
      <c r="J273" s="122" t="e">
        <f>MROUND(SUM(#REF!,#REF!,#REF!,#REF!,#REF!),0.25)</f>
        <v>#REF!</v>
      </c>
      <c r="K273" t="s">
        <v>283</v>
      </c>
    </row>
    <row r="274" spans="1:11" ht="15" hidden="1" thickBot="1" x14ac:dyDescent="0.35">
      <c r="A274" s="14" t="s">
        <v>280</v>
      </c>
      <c r="B274" s="15"/>
      <c r="C274" s="58">
        <v>1</v>
      </c>
      <c r="D274" s="58">
        <v>1</v>
      </c>
      <c r="E274" s="65">
        <v>0</v>
      </c>
      <c r="F274" s="59">
        <f>IF(J237="Fire - Liberty Mutual/State Auto",100,_xlfn.XLOOKUP($J$4,LISTS!$B$32:$B$33,LISTS!$C$32:$C$33))</f>
        <v>185</v>
      </c>
      <c r="G274" s="60">
        <f>+C274*D274*E274*F274</f>
        <v>0</v>
      </c>
      <c r="J274" s="122" t="e">
        <f>MROUND(SUM(#REF!,#REF!,#REF!,#REF!,#REF!,#REF!,#REF!,#REF!),0.25)</f>
        <v>#REF!</v>
      </c>
      <c r="K274" t="s">
        <v>284</v>
      </c>
    </row>
    <row r="275" spans="1:11" hidden="1" x14ac:dyDescent="0.3">
      <c r="A275" s="27"/>
      <c r="B275" s="27"/>
      <c r="C275" s="182"/>
      <c r="D275" s="182"/>
      <c r="E275" s="63"/>
      <c r="F275" s="38"/>
      <c r="G275" s="61" cm="1">
        <f t="array" ref="G275">SUM(IFERROR(G273:G274,0))</f>
        <v>0</v>
      </c>
    </row>
    <row r="276" spans="1:11" ht="15" hidden="1" thickBot="1" x14ac:dyDescent="0.35">
      <c r="A276" s="273" t="str">
        <f>"Site Address: " &amp; 'PROJECT SUMMARY (Old)'!C69 &amp; " - " &amp; 'PROJECT SUMMARY (Old)'!D69</f>
        <v xml:space="preserve">Site Address:  - </v>
      </c>
      <c r="B276" s="273"/>
      <c r="C276" s="273"/>
      <c r="D276" s="273"/>
      <c r="E276" s="273"/>
      <c r="F276" s="273"/>
      <c r="G276" s="273"/>
      <c r="K276" s="86"/>
    </row>
    <row r="277" spans="1:11" hidden="1" x14ac:dyDescent="0.3">
      <c r="A277" s="40" t="s">
        <v>464</v>
      </c>
      <c r="B277" s="41"/>
      <c r="C277" s="11" t="s">
        <v>16</v>
      </c>
      <c r="D277" s="11" t="s">
        <v>4</v>
      </c>
      <c r="E277" s="11" t="s">
        <v>17</v>
      </c>
      <c r="F277" s="11" t="s">
        <v>6</v>
      </c>
      <c r="G277" s="12" t="s">
        <v>7</v>
      </c>
    </row>
    <row r="278" spans="1:11" hidden="1" x14ac:dyDescent="0.3">
      <c r="A278" s="26" t="s">
        <v>279</v>
      </c>
      <c r="B278" s="27"/>
      <c r="C278" s="42">
        <v>1</v>
      </c>
      <c r="D278" s="42">
        <v>1</v>
      </c>
      <c r="E278" s="64">
        <v>0</v>
      </c>
      <c r="F278" s="44" cm="1">
        <f t="array" ref="F278">_xlfn.XLOOKUP($J$2&amp;$J$4&amp;$J$5,LISTS!$D$14:$D$28&amp;LISTS!$C$14:$C$28&amp;LISTS!$B$14:$B$28,LISTS!$E$14:$E$28)</f>
        <v>340</v>
      </c>
      <c r="G278" s="32">
        <f>+C278*D278*E278*F278</f>
        <v>0</v>
      </c>
      <c r="J278" s="122" t="e">
        <f>MROUND(SUM(#REF!,#REF!,#REF!,#REF!,#REF!),0.25)</f>
        <v>#REF!</v>
      </c>
      <c r="K278" t="s">
        <v>283</v>
      </c>
    </row>
    <row r="279" spans="1:11" ht="15" hidden="1" thickBot="1" x14ac:dyDescent="0.35">
      <c r="A279" s="14" t="s">
        <v>280</v>
      </c>
      <c r="B279" s="15"/>
      <c r="C279" s="58">
        <v>1</v>
      </c>
      <c r="D279" s="58">
        <v>1</v>
      </c>
      <c r="E279" s="65">
        <v>0</v>
      </c>
      <c r="F279" s="59">
        <f>IF(J242="Fire - Liberty Mutual/State Auto",100,_xlfn.XLOOKUP($J$4,LISTS!$B$32:$B$33,LISTS!$C$32:$C$33))</f>
        <v>185</v>
      </c>
      <c r="G279" s="60">
        <f>+C279*D279*E279*F279</f>
        <v>0</v>
      </c>
      <c r="J279" s="122" t="e">
        <f>MROUND(SUM(#REF!,#REF!,#REF!,#REF!,#REF!,#REF!,#REF!,#REF!),0.25)</f>
        <v>#REF!</v>
      </c>
      <c r="K279" t="s">
        <v>284</v>
      </c>
    </row>
    <row r="280" spans="1:11" hidden="1" x14ac:dyDescent="0.3">
      <c r="A280" s="27"/>
      <c r="B280" s="27"/>
      <c r="C280" s="182"/>
      <c r="D280" s="182"/>
      <c r="E280" s="63"/>
      <c r="F280" s="38"/>
      <c r="G280" s="61" cm="1">
        <f t="array" ref="G280">SUM(IFERROR(G278:G279,0))</f>
        <v>0</v>
      </c>
    </row>
    <row r="281" spans="1:11" ht="14.7" hidden="1" customHeight="1" thickBot="1" x14ac:dyDescent="0.35">
      <c r="A281" s="273" t="str">
        <f>"Site Address: " &amp; 'PROJECT SUMMARY (Old)'!C70 &amp; " - " &amp; 'PROJECT SUMMARY (Old)'!D70</f>
        <v xml:space="preserve">Site Address:  - </v>
      </c>
      <c r="B281" s="273"/>
      <c r="C281" s="273"/>
      <c r="D281" s="273"/>
      <c r="E281" s="273"/>
      <c r="F281" s="273"/>
      <c r="G281" s="273"/>
      <c r="K281" s="86"/>
    </row>
    <row r="282" spans="1:11" hidden="1" x14ac:dyDescent="0.3">
      <c r="A282" s="40" t="s">
        <v>464</v>
      </c>
      <c r="B282" s="41"/>
      <c r="C282" s="11" t="s">
        <v>16</v>
      </c>
      <c r="D282" s="11" t="s">
        <v>4</v>
      </c>
      <c r="E282" s="11" t="s">
        <v>17</v>
      </c>
      <c r="F282" s="11" t="s">
        <v>6</v>
      </c>
      <c r="G282" s="12" t="s">
        <v>7</v>
      </c>
    </row>
    <row r="283" spans="1:11" hidden="1" x14ac:dyDescent="0.3">
      <c r="A283" s="26" t="s">
        <v>279</v>
      </c>
      <c r="B283" s="27"/>
      <c r="C283" s="42">
        <v>1</v>
      </c>
      <c r="D283" s="42">
        <v>1</v>
      </c>
      <c r="E283" s="64">
        <v>0</v>
      </c>
      <c r="F283" s="44" cm="1">
        <f t="array" ref="F283">_xlfn.XLOOKUP($J$2&amp;$J$4&amp;$J$5,LISTS!$D$14:$D$28&amp;LISTS!$C$14:$C$28&amp;LISTS!$B$14:$B$28,LISTS!$E$14:$E$28)</f>
        <v>340</v>
      </c>
      <c r="G283" s="32">
        <f>+C283*D283*E283*F283</f>
        <v>0</v>
      </c>
      <c r="J283" s="122" t="e">
        <f>MROUND(SUM(#REF!,#REF!,#REF!,#REF!,#REF!),0.25)</f>
        <v>#REF!</v>
      </c>
      <c r="K283" t="s">
        <v>283</v>
      </c>
    </row>
    <row r="284" spans="1:11" ht="15" hidden="1" thickBot="1" x14ac:dyDescent="0.35">
      <c r="A284" s="14" t="s">
        <v>280</v>
      </c>
      <c r="B284" s="15"/>
      <c r="C284" s="58">
        <v>1</v>
      </c>
      <c r="D284" s="58">
        <v>1</v>
      </c>
      <c r="E284" s="65">
        <v>0</v>
      </c>
      <c r="F284" s="59">
        <f>IF(J247="Fire - Liberty Mutual/State Auto",100,_xlfn.XLOOKUP($J$4,LISTS!$B$32:$B$33,LISTS!$C$32:$C$33))</f>
        <v>185</v>
      </c>
      <c r="G284" s="60">
        <f>+C284*D284*E284*F284</f>
        <v>0</v>
      </c>
      <c r="J284" s="122" t="e">
        <f>MROUND(SUM(#REF!,#REF!,#REF!,#REF!,#REF!,#REF!,#REF!,#REF!),0.25)</f>
        <v>#REF!</v>
      </c>
      <c r="K284" t="s">
        <v>284</v>
      </c>
    </row>
    <row r="285" spans="1:11" hidden="1" x14ac:dyDescent="0.3">
      <c r="A285" s="27"/>
      <c r="B285" s="27"/>
      <c r="C285" s="182"/>
      <c r="D285" s="182"/>
      <c r="E285" s="63"/>
      <c r="F285" s="38"/>
      <c r="G285" s="61" cm="1">
        <f t="array" ref="G285">SUM(IFERROR(G283:G284,0))</f>
        <v>0</v>
      </c>
    </row>
    <row r="286" spans="1:11" ht="15" hidden="1" thickBot="1" x14ac:dyDescent="0.35">
      <c r="A286" s="273" t="str">
        <f>"Site Address: " &amp; 'PROJECT SUMMARY (Old)'!C71 &amp; " - " &amp; 'PROJECT SUMMARY (Old)'!D71</f>
        <v xml:space="preserve">Site Address:  - </v>
      </c>
      <c r="B286" s="273"/>
      <c r="C286" s="273"/>
      <c r="D286" s="273"/>
      <c r="E286" s="273"/>
      <c r="F286" s="273"/>
      <c r="G286" s="273"/>
      <c r="K286" s="86"/>
    </row>
    <row r="287" spans="1:11" hidden="1" x14ac:dyDescent="0.3">
      <c r="A287" s="40" t="s">
        <v>464</v>
      </c>
      <c r="B287" s="41"/>
      <c r="C287" s="11" t="s">
        <v>16</v>
      </c>
      <c r="D287" s="11" t="s">
        <v>4</v>
      </c>
      <c r="E287" s="11" t="s">
        <v>17</v>
      </c>
      <c r="F287" s="11" t="s">
        <v>6</v>
      </c>
      <c r="G287" s="12" t="s">
        <v>7</v>
      </c>
    </row>
    <row r="288" spans="1:11" hidden="1" x14ac:dyDescent="0.3">
      <c r="A288" s="26" t="s">
        <v>279</v>
      </c>
      <c r="B288" s="27"/>
      <c r="C288" s="42">
        <v>1</v>
      </c>
      <c r="D288" s="42">
        <v>1</v>
      </c>
      <c r="E288" s="64">
        <v>0</v>
      </c>
      <c r="F288" s="44" cm="1">
        <f t="array" ref="F288">_xlfn.XLOOKUP($J$2&amp;$J$4&amp;$J$5,LISTS!$D$14:$D$28&amp;LISTS!$C$14:$C$28&amp;LISTS!$B$14:$B$28,LISTS!$E$14:$E$28)</f>
        <v>340</v>
      </c>
      <c r="G288" s="32">
        <f>+C288*D288*E288*F288</f>
        <v>0</v>
      </c>
      <c r="J288" s="122" t="e">
        <f>MROUND(SUM(#REF!,#REF!,#REF!,#REF!,#REF!),0.25)</f>
        <v>#REF!</v>
      </c>
      <c r="K288" t="s">
        <v>283</v>
      </c>
    </row>
    <row r="289" spans="1:11" ht="15" hidden="1" thickBot="1" x14ac:dyDescent="0.35">
      <c r="A289" s="14" t="s">
        <v>280</v>
      </c>
      <c r="B289" s="15"/>
      <c r="C289" s="58">
        <v>1</v>
      </c>
      <c r="D289" s="58">
        <v>1</v>
      </c>
      <c r="E289" s="65">
        <v>0</v>
      </c>
      <c r="F289" s="59">
        <f>IF(J252="Fire - Liberty Mutual/State Auto",100,_xlfn.XLOOKUP($J$4,LISTS!$B$32:$B$33,LISTS!$C$32:$C$33))</f>
        <v>185</v>
      </c>
      <c r="G289" s="60">
        <f>+C289*D289*E289*F289</f>
        <v>0</v>
      </c>
      <c r="J289" s="122" t="e">
        <f>MROUND(SUM(#REF!,#REF!,#REF!,#REF!,#REF!,#REF!,#REF!,#REF!),0.25)</f>
        <v>#REF!</v>
      </c>
      <c r="K289" t="s">
        <v>284</v>
      </c>
    </row>
    <row r="290" spans="1:11" hidden="1" x14ac:dyDescent="0.3">
      <c r="A290" s="27"/>
      <c r="B290" s="27"/>
      <c r="C290" s="182"/>
      <c r="D290" s="182"/>
      <c r="E290" s="63"/>
      <c r="F290" s="38"/>
      <c r="G290" s="61" cm="1">
        <f t="array" ref="G290">SUM(IFERROR(G288:G289,0))</f>
        <v>0</v>
      </c>
    </row>
    <row r="291" spans="1:11" ht="15" hidden="1" thickBot="1" x14ac:dyDescent="0.35">
      <c r="A291" s="273" t="str">
        <f>"Site Address: " &amp; 'PROJECT SUMMARY (Old)'!C72 &amp; " - " &amp; 'PROJECT SUMMARY (Old)'!D72</f>
        <v xml:space="preserve">Site Address:  - </v>
      </c>
      <c r="B291" s="273"/>
      <c r="C291" s="273"/>
      <c r="D291" s="273"/>
      <c r="E291" s="273"/>
      <c r="F291" s="273"/>
      <c r="G291" s="273"/>
      <c r="K291" s="86"/>
    </row>
    <row r="292" spans="1:11" hidden="1" x14ac:dyDescent="0.3">
      <c r="A292" s="40" t="s">
        <v>464</v>
      </c>
      <c r="B292" s="41"/>
      <c r="C292" s="11" t="s">
        <v>16</v>
      </c>
      <c r="D292" s="11" t="s">
        <v>4</v>
      </c>
      <c r="E292" s="11" t="s">
        <v>17</v>
      </c>
      <c r="F292" s="11" t="s">
        <v>6</v>
      </c>
      <c r="G292" s="12" t="s">
        <v>7</v>
      </c>
    </row>
    <row r="293" spans="1:11" hidden="1" x14ac:dyDescent="0.3">
      <c r="A293" s="26" t="s">
        <v>279</v>
      </c>
      <c r="B293" s="27"/>
      <c r="C293" s="42">
        <v>1</v>
      </c>
      <c r="D293" s="42">
        <v>1</v>
      </c>
      <c r="E293" s="64">
        <v>0</v>
      </c>
      <c r="F293" s="44" cm="1">
        <f t="array" ref="F293">_xlfn.XLOOKUP($J$2&amp;$J$4&amp;$J$5,LISTS!$D$14:$D$28&amp;LISTS!$C$14:$C$28&amp;LISTS!$B$14:$B$28,LISTS!$E$14:$E$28)</f>
        <v>340</v>
      </c>
      <c r="G293" s="32">
        <f>+C293*D293*E293*F293</f>
        <v>0</v>
      </c>
      <c r="J293" s="122" t="e">
        <f>MROUND(SUM(#REF!,#REF!,#REF!,#REF!,#REF!),0.25)</f>
        <v>#REF!</v>
      </c>
      <c r="K293" t="s">
        <v>283</v>
      </c>
    </row>
    <row r="294" spans="1:11" ht="15" hidden="1" thickBot="1" x14ac:dyDescent="0.35">
      <c r="A294" s="14" t="s">
        <v>280</v>
      </c>
      <c r="B294" s="15"/>
      <c r="C294" s="58">
        <v>1</v>
      </c>
      <c r="D294" s="58">
        <v>1</v>
      </c>
      <c r="E294" s="65">
        <v>0</v>
      </c>
      <c r="F294" s="59">
        <f>IF(J257="Fire - Liberty Mutual/State Auto",100,_xlfn.XLOOKUP($J$4,LISTS!$B$32:$B$33,LISTS!$C$32:$C$33))</f>
        <v>185</v>
      </c>
      <c r="G294" s="60">
        <f>+C294*D294*E294*F294</f>
        <v>0</v>
      </c>
      <c r="J294" s="122" t="e">
        <f>MROUND(SUM(#REF!,#REF!,#REF!,#REF!,#REF!,#REF!,#REF!,#REF!),0.25)</f>
        <v>#REF!</v>
      </c>
      <c r="K294" t="s">
        <v>284</v>
      </c>
    </row>
    <row r="295" spans="1:11" hidden="1" x14ac:dyDescent="0.3">
      <c r="A295" s="27"/>
      <c r="B295" s="27"/>
      <c r="C295" s="182"/>
      <c r="D295" s="182"/>
      <c r="E295" s="63"/>
      <c r="F295" s="38"/>
      <c r="G295" s="61" cm="1">
        <f t="array" ref="G295">SUM(IFERROR(G293:G294,0))</f>
        <v>0</v>
      </c>
    </row>
    <row r="296" spans="1:11" ht="15" hidden="1" thickBot="1" x14ac:dyDescent="0.35">
      <c r="A296" s="273" t="str">
        <f>"Site Address: " &amp; 'PROJECT SUMMARY (Old)'!C73 &amp; " - " &amp; 'PROJECT SUMMARY (Old)'!D73</f>
        <v xml:space="preserve">Site Address:  - </v>
      </c>
      <c r="B296" s="273"/>
      <c r="C296" s="273"/>
      <c r="D296" s="273"/>
      <c r="E296" s="273"/>
      <c r="F296" s="273"/>
      <c r="G296" s="273"/>
      <c r="K296" s="86"/>
    </row>
    <row r="297" spans="1:11" hidden="1" x14ac:dyDescent="0.3">
      <c r="A297" s="40" t="s">
        <v>464</v>
      </c>
      <c r="B297" s="41"/>
      <c r="C297" s="11" t="s">
        <v>16</v>
      </c>
      <c r="D297" s="11" t="s">
        <v>4</v>
      </c>
      <c r="E297" s="11" t="s">
        <v>17</v>
      </c>
      <c r="F297" s="11" t="s">
        <v>6</v>
      </c>
      <c r="G297" s="12" t="s">
        <v>7</v>
      </c>
    </row>
    <row r="298" spans="1:11" hidden="1" x14ac:dyDescent="0.3">
      <c r="A298" s="26" t="s">
        <v>279</v>
      </c>
      <c r="B298" s="27"/>
      <c r="C298" s="42">
        <v>1</v>
      </c>
      <c r="D298" s="42">
        <v>1</v>
      </c>
      <c r="E298" s="64">
        <v>0</v>
      </c>
      <c r="F298" s="44" cm="1">
        <f t="array" ref="F298">_xlfn.XLOOKUP($J$2&amp;$J$4&amp;$J$5,LISTS!$D$14:$D$28&amp;LISTS!$C$14:$C$28&amp;LISTS!$B$14:$B$28,LISTS!$E$14:$E$28)</f>
        <v>340</v>
      </c>
      <c r="G298" s="32">
        <f>+C298*D298*E298*F298</f>
        <v>0</v>
      </c>
      <c r="J298" s="122" t="e">
        <f>MROUND(SUM(#REF!,#REF!,#REF!,#REF!,#REF!),0.25)</f>
        <v>#REF!</v>
      </c>
      <c r="K298" t="s">
        <v>283</v>
      </c>
    </row>
    <row r="299" spans="1:11" ht="15" hidden="1" thickBot="1" x14ac:dyDescent="0.35">
      <c r="A299" s="14" t="s">
        <v>280</v>
      </c>
      <c r="B299" s="15"/>
      <c r="C299" s="58">
        <v>1</v>
      </c>
      <c r="D299" s="58">
        <v>1</v>
      </c>
      <c r="E299" s="65">
        <v>0</v>
      </c>
      <c r="F299" s="59">
        <f>IF(J262="Fire - Liberty Mutual/State Auto",100,_xlfn.XLOOKUP($J$4,LISTS!$B$32:$B$33,LISTS!$C$32:$C$33))</f>
        <v>185</v>
      </c>
      <c r="G299" s="60">
        <f>+C299*D299*E299*F299</f>
        <v>0</v>
      </c>
      <c r="J299" s="122" t="e">
        <f>MROUND(SUM(#REF!,#REF!,#REF!,#REF!,#REF!,#REF!,#REF!,#REF!),0.25)</f>
        <v>#REF!</v>
      </c>
      <c r="K299" t="s">
        <v>284</v>
      </c>
    </row>
    <row r="300" spans="1:11" hidden="1" x14ac:dyDescent="0.3">
      <c r="A300" s="27"/>
      <c r="B300" s="27"/>
      <c r="C300" s="182"/>
      <c r="D300" s="182"/>
      <c r="E300" s="63"/>
      <c r="F300" s="38"/>
      <c r="G300" s="61" cm="1">
        <f t="array" ref="G300">SUM(IFERROR(G298:G299,0))</f>
        <v>0</v>
      </c>
    </row>
    <row r="301" spans="1:11" ht="15" hidden="1" thickBot="1" x14ac:dyDescent="0.35">
      <c r="A301" s="273" t="str">
        <f>"Site Address: " &amp; 'PROJECT SUMMARY (Old)'!C74 &amp; " - " &amp; 'PROJECT SUMMARY (Old)'!D74</f>
        <v xml:space="preserve">Site Address:  - </v>
      </c>
      <c r="B301" s="273"/>
      <c r="C301" s="273"/>
      <c r="D301" s="273"/>
      <c r="E301" s="273"/>
      <c r="F301" s="273"/>
      <c r="G301" s="273"/>
      <c r="K301" s="86"/>
    </row>
    <row r="302" spans="1:11" hidden="1" x14ac:dyDescent="0.3">
      <c r="A302" s="40" t="s">
        <v>464</v>
      </c>
      <c r="B302" s="41"/>
      <c r="C302" s="11" t="s">
        <v>16</v>
      </c>
      <c r="D302" s="11" t="s">
        <v>4</v>
      </c>
      <c r="E302" s="11" t="s">
        <v>17</v>
      </c>
      <c r="F302" s="11" t="s">
        <v>6</v>
      </c>
      <c r="G302" s="12" t="s">
        <v>7</v>
      </c>
    </row>
    <row r="303" spans="1:11" hidden="1" x14ac:dyDescent="0.3">
      <c r="A303" s="26" t="s">
        <v>279</v>
      </c>
      <c r="B303" s="27"/>
      <c r="C303" s="42">
        <v>1</v>
      </c>
      <c r="D303" s="42">
        <v>1</v>
      </c>
      <c r="E303" s="64">
        <v>0</v>
      </c>
      <c r="F303" s="44" cm="1">
        <f t="array" ref="F303">_xlfn.XLOOKUP($J$2&amp;$J$4&amp;$J$5,LISTS!$D$14:$D$28&amp;LISTS!$C$14:$C$28&amp;LISTS!$B$14:$B$28,LISTS!$E$14:$E$28)</f>
        <v>340</v>
      </c>
      <c r="G303" s="32">
        <f>+C303*D303*E303*F303</f>
        <v>0</v>
      </c>
      <c r="J303" s="122" t="e">
        <f>MROUND(SUM(#REF!,#REF!,#REF!,#REF!,#REF!),0.25)</f>
        <v>#REF!</v>
      </c>
      <c r="K303" t="s">
        <v>283</v>
      </c>
    </row>
    <row r="304" spans="1:11" ht="15" hidden="1" thickBot="1" x14ac:dyDescent="0.35">
      <c r="A304" s="14" t="s">
        <v>280</v>
      </c>
      <c r="B304" s="15"/>
      <c r="C304" s="58">
        <v>1</v>
      </c>
      <c r="D304" s="58">
        <v>1</v>
      </c>
      <c r="E304" s="65">
        <v>0</v>
      </c>
      <c r="F304" s="59">
        <f>IF(J267="Fire - Liberty Mutual/State Auto",100,_xlfn.XLOOKUP($J$4,LISTS!$B$32:$B$33,LISTS!$C$32:$C$33))</f>
        <v>185</v>
      </c>
      <c r="G304" s="60">
        <f>+C304*D304*E304*F304</f>
        <v>0</v>
      </c>
      <c r="J304" s="122" t="e">
        <f>MROUND(SUM(#REF!,#REF!,#REF!,#REF!,#REF!,#REF!,#REF!,#REF!),0.25)</f>
        <v>#REF!</v>
      </c>
      <c r="K304" t="s">
        <v>284</v>
      </c>
    </row>
    <row r="305" spans="1:11" hidden="1" x14ac:dyDescent="0.3">
      <c r="A305" s="27"/>
      <c r="B305" s="27"/>
      <c r="C305" s="182"/>
      <c r="D305" s="182"/>
      <c r="E305" s="63"/>
      <c r="F305" s="38"/>
      <c r="G305" s="61" cm="1">
        <f t="array" ref="G305">SUM(IFERROR(G303:G304,0))</f>
        <v>0</v>
      </c>
    </row>
    <row r="306" spans="1:11" ht="15" hidden="1" thickBot="1" x14ac:dyDescent="0.35">
      <c r="A306" s="273" t="str">
        <f>"Site Address: " &amp; 'PROJECT SUMMARY (Old)'!C75 &amp; " - " &amp; 'PROJECT SUMMARY (Old)'!D75</f>
        <v xml:space="preserve">Site Address:  - </v>
      </c>
      <c r="B306" s="273"/>
      <c r="C306" s="273"/>
      <c r="D306" s="273"/>
      <c r="E306" s="273"/>
      <c r="F306" s="273"/>
      <c r="G306" s="273"/>
      <c r="K306" s="86"/>
    </row>
    <row r="307" spans="1:11" hidden="1" x14ac:dyDescent="0.3">
      <c r="A307" s="40" t="s">
        <v>464</v>
      </c>
      <c r="B307" s="41"/>
      <c r="C307" s="11" t="s">
        <v>16</v>
      </c>
      <c r="D307" s="11" t="s">
        <v>4</v>
      </c>
      <c r="E307" s="11" t="s">
        <v>17</v>
      </c>
      <c r="F307" s="11" t="s">
        <v>6</v>
      </c>
      <c r="G307" s="12" t="s">
        <v>7</v>
      </c>
    </row>
    <row r="308" spans="1:11" hidden="1" x14ac:dyDescent="0.3">
      <c r="A308" s="26" t="s">
        <v>279</v>
      </c>
      <c r="B308" s="27"/>
      <c r="C308" s="42">
        <v>1</v>
      </c>
      <c r="D308" s="42">
        <v>1</v>
      </c>
      <c r="E308" s="64">
        <v>0</v>
      </c>
      <c r="F308" s="44" cm="1">
        <f t="array" ref="F308">_xlfn.XLOOKUP($J$2&amp;$J$4&amp;$J$5,LISTS!$D$14:$D$28&amp;LISTS!$C$14:$C$28&amp;LISTS!$B$14:$B$28,LISTS!$E$14:$E$28)</f>
        <v>340</v>
      </c>
      <c r="G308" s="32">
        <f>+C308*D308*E308*F308</f>
        <v>0</v>
      </c>
      <c r="J308" s="122" t="e">
        <f>MROUND(SUM(#REF!,#REF!,#REF!,#REF!,#REF!),0.25)</f>
        <v>#REF!</v>
      </c>
      <c r="K308" t="s">
        <v>283</v>
      </c>
    </row>
    <row r="309" spans="1:11" ht="15" hidden="1" thickBot="1" x14ac:dyDescent="0.35">
      <c r="A309" s="14" t="s">
        <v>280</v>
      </c>
      <c r="B309" s="15"/>
      <c r="C309" s="58">
        <v>1</v>
      </c>
      <c r="D309" s="58">
        <v>1</v>
      </c>
      <c r="E309" s="65">
        <v>0</v>
      </c>
      <c r="F309" s="59">
        <f>IF(K272="Fire - Liberty Mutual/State Auto",100,_xlfn.XLOOKUP($J$4,LISTS!$B$32:$B$33,LISTS!$C$32:$C$33))</f>
        <v>185</v>
      </c>
      <c r="G309" s="60">
        <f>+C309*D309*E309*F309</f>
        <v>0</v>
      </c>
      <c r="J309" s="122" t="e">
        <f>MROUND(SUM(#REF!,#REF!,#REF!,#REF!,#REF!,#REF!,#REF!,#REF!),0.25)</f>
        <v>#REF!</v>
      </c>
      <c r="K309" t="s">
        <v>284</v>
      </c>
    </row>
    <row r="310" spans="1:11" hidden="1" x14ac:dyDescent="0.3">
      <c r="A310" s="27"/>
      <c r="B310" s="27"/>
      <c r="C310" s="182"/>
      <c r="D310" s="182"/>
      <c r="E310" s="63"/>
      <c r="F310" s="38"/>
      <c r="G310" s="61" cm="1">
        <f t="array" ref="G310">SUM(IFERROR(G308:G309,0))</f>
        <v>0</v>
      </c>
    </row>
    <row r="311" spans="1:11" ht="15" hidden="1" thickBot="1" x14ac:dyDescent="0.35">
      <c r="A311" s="273" t="str">
        <f>"Site Address: " &amp; 'PROJECT SUMMARY (Old)'!C76 &amp; " - " &amp; 'PROJECT SUMMARY (Old)'!D76</f>
        <v xml:space="preserve">Site Address:  - </v>
      </c>
      <c r="B311" s="273"/>
      <c r="C311" s="273"/>
      <c r="D311" s="273"/>
      <c r="E311" s="273"/>
      <c r="F311" s="273"/>
      <c r="G311" s="273"/>
      <c r="K311" s="86"/>
    </row>
    <row r="312" spans="1:11" hidden="1" x14ac:dyDescent="0.3">
      <c r="A312" s="40" t="s">
        <v>464</v>
      </c>
      <c r="B312" s="41"/>
      <c r="C312" s="11" t="s">
        <v>16</v>
      </c>
      <c r="D312" s="11" t="s">
        <v>4</v>
      </c>
      <c r="E312" s="11" t="s">
        <v>17</v>
      </c>
      <c r="F312" s="11" t="s">
        <v>6</v>
      </c>
      <c r="G312" s="12" t="s">
        <v>7</v>
      </c>
    </row>
    <row r="313" spans="1:11" hidden="1" x14ac:dyDescent="0.3">
      <c r="A313" s="26" t="s">
        <v>279</v>
      </c>
      <c r="B313" s="27"/>
      <c r="C313" s="42">
        <v>1</v>
      </c>
      <c r="D313" s="42">
        <v>1</v>
      </c>
      <c r="E313" s="64">
        <v>0</v>
      </c>
      <c r="F313" s="44" cm="1">
        <f t="array" ref="F313">_xlfn.XLOOKUP($J$2&amp;$J$4&amp;$J$5,LISTS!$D$14:$D$28&amp;LISTS!$C$14:$C$28&amp;LISTS!$B$14:$B$28,LISTS!$E$14:$E$28)</f>
        <v>340</v>
      </c>
      <c r="G313" s="32">
        <f>+C313*D313*E313*F313</f>
        <v>0</v>
      </c>
      <c r="J313" s="122" t="e">
        <f>MROUND(SUM(#REF!,#REF!,#REF!,#REF!,#REF!),0.25)</f>
        <v>#REF!</v>
      </c>
      <c r="K313" t="s">
        <v>283</v>
      </c>
    </row>
    <row r="314" spans="1:11" ht="15" hidden="1" thickBot="1" x14ac:dyDescent="0.35">
      <c r="A314" s="14" t="s">
        <v>280</v>
      </c>
      <c r="B314" s="15"/>
      <c r="C314" s="58">
        <v>1</v>
      </c>
      <c r="D314" s="58">
        <v>1</v>
      </c>
      <c r="E314" s="65">
        <v>0</v>
      </c>
      <c r="F314" s="59">
        <f>IF(K277="Fire - Liberty Mutual/State Auto",100,_xlfn.XLOOKUP($J$4,LISTS!$B$32:$B$33,LISTS!$C$32:$C$33))</f>
        <v>185</v>
      </c>
      <c r="G314" s="60">
        <f>+C314*D314*E314*F314</f>
        <v>0</v>
      </c>
      <c r="J314" s="122" t="e">
        <f>MROUND(SUM(#REF!,#REF!,#REF!,#REF!,#REF!,#REF!,#REF!,#REF!),0.25)</f>
        <v>#REF!</v>
      </c>
      <c r="K314" t="s">
        <v>284</v>
      </c>
    </row>
    <row r="315" spans="1:11" hidden="1" x14ac:dyDescent="0.3">
      <c r="A315" s="27"/>
      <c r="B315" s="27"/>
      <c r="C315" s="182"/>
      <c r="D315" s="182"/>
      <c r="E315" s="63"/>
      <c r="F315" s="38"/>
      <c r="G315" s="61" cm="1">
        <f t="array" ref="G315">SUM(IFERROR(G313:G314,0))</f>
        <v>0</v>
      </c>
    </row>
    <row r="316" spans="1:11" ht="15" hidden="1" thickBot="1" x14ac:dyDescent="0.35">
      <c r="A316" s="273" t="str">
        <f>"Site Address: " &amp; 'PROJECT SUMMARY (Old)'!C77 &amp; " - " &amp; 'PROJECT SUMMARY (Old)'!D77</f>
        <v xml:space="preserve">Site Address:  - </v>
      </c>
      <c r="B316" s="273"/>
      <c r="C316" s="273"/>
      <c r="D316" s="273"/>
      <c r="E316" s="273"/>
      <c r="F316" s="273"/>
      <c r="G316" s="273"/>
      <c r="K316" s="86"/>
    </row>
    <row r="317" spans="1:11" hidden="1" x14ac:dyDescent="0.3">
      <c r="A317" s="40" t="s">
        <v>464</v>
      </c>
      <c r="B317" s="41"/>
      <c r="C317" s="11" t="s">
        <v>16</v>
      </c>
      <c r="D317" s="11" t="s">
        <v>4</v>
      </c>
      <c r="E317" s="11" t="s">
        <v>17</v>
      </c>
      <c r="F317" s="11" t="s">
        <v>6</v>
      </c>
      <c r="G317" s="12" t="s">
        <v>7</v>
      </c>
    </row>
    <row r="318" spans="1:11" hidden="1" x14ac:dyDescent="0.3">
      <c r="A318" s="26" t="s">
        <v>279</v>
      </c>
      <c r="B318" s="27"/>
      <c r="C318" s="42">
        <v>1</v>
      </c>
      <c r="D318" s="42">
        <v>1</v>
      </c>
      <c r="E318" s="64">
        <v>0</v>
      </c>
      <c r="F318" s="44" cm="1">
        <f t="array" ref="F318">_xlfn.XLOOKUP($J$2&amp;$J$4&amp;$J$5,LISTS!$D$14:$D$28&amp;LISTS!$C$14:$C$28&amp;LISTS!$B$14:$B$28,LISTS!$E$14:$E$28)</f>
        <v>340</v>
      </c>
      <c r="G318" s="32">
        <f>+C318*D318*E318*F318</f>
        <v>0</v>
      </c>
      <c r="J318" s="122" t="e">
        <f>MROUND(SUM(#REF!,#REF!,#REF!,#REF!,#REF!),0.25)</f>
        <v>#REF!</v>
      </c>
      <c r="K318" t="s">
        <v>283</v>
      </c>
    </row>
    <row r="319" spans="1:11" ht="15" hidden="1" thickBot="1" x14ac:dyDescent="0.35">
      <c r="A319" s="14" t="s">
        <v>280</v>
      </c>
      <c r="B319" s="15"/>
      <c r="C319" s="58">
        <v>1</v>
      </c>
      <c r="D319" s="58">
        <v>1</v>
      </c>
      <c r="E319" s="65">
        <v>0</v>
      </c>
      <c r="F319" s="59">
        <f>IF(J282="Fire - Liberty Mutual/State Auto",100,_xlfn.XLOOKUP($J$4,LISTS!$B$32:$B$33,LISTS!$C$32:$C$33))</f>
        <v>185</v>
      </c>
      <c r="G319" s="60">
        <f>+C319*D319*E319*F319</f>
        <v>0</v>
      </c>
      <c r="J319" s="122" t="e">
        <f>MROUND(SUM(#REF!,#REF!,#REF!,#REF!,#REF!,#REF!,#REF!,#REF!),0.25)</f>
        <v>#REF!</v>
      </c>
      <c r="K319" t="s">
        <v>284</v>
      </c>
    </row>
    <row r="320" spans="1:11" hidden="1" x14ac:dyDescent="0.3">
      <c r="A320" s="27"/>
      <c r="B320" s="27"/>
      <c r="C320" s="182"/>
      <c r="D320" s="182"/>
      <c r="E320" s="63"/>
      <c r="F320" s="38"/>
      <c r="G320" s="61" cm="1">
        <f t="array" ref="G320">SUM(IFERROR(G318:G319,0))</f>
        <v>0</v>
      </c>
    </row>
    <row r="321" spans="1:11" ht="15" hidden="1" thickBot="1" x14ac:dyDescent="0.35">
      <c r="A321" s="273" t="str">
        <f>"Site Address: " &amp; 'PROJECT SUMMARY (Old)'!C78 &amp; " - " &amp; 'PROJECT SUMMARY (Old)'!D78</f>
        <v xml:space="preserve">Site Address:  - </v>
      </c>
      <c r="B321" s="273"/>
      <c r="C321" s="273"/>
      <c r="D321" s="273"/>
      <c r="E321" s="273"/>
      <c r="F321" s="273"/>
      <c r="G321" s="273"/>
      <c r="K321" s="86"/>
    </row>
    <row r="322" spans="1:11" hidden="1" x14ac:dyDescent="0.3">
      <c r="A322" s="40" t="s">
        <v>464</v>
      </c>
      <c r="B322" s="41"/>
      <c r="C322" s="11" t="s">
        <v>16</v>
      </c>
      <c r="D322" s="11" t="s">
        <v>4</v>
      </c>
      <c r="E322" s="11" t="s">
        <v>17</v>
      </c>
      <c r="F322" s="11" t="s">
        <v>6</v>
      </c>
      <c r="G322" s="12" t="s">
        <v>7</v>
      </c>
    </row>
    <row r="323" spans="1:11" hidden="1" x14ac:dyDescent="0.3">
      <c r="A323" s="26" t="s">
        <v>279</v>
      </c>
      <c r="B323" s="27"/>
      <c r="C323" s="42">
        <v>1</v>
      </c>
      <c r="D323" s="42">
        <v>1</v>
      </c>
      <c r="E323" s="64">
        <v>0</v>
      </c>
      <c r="F323" s="44" cm="1">
        <f t="array" ref="F323">_xlfn.XLOOKUP($J$2&amp;$J$4&amp;$J$5,LISTS!$D$14:$D$28&amp;LISTS!$C$14:$C$28&amp;LISTS!$B$14:$B$28,LISTS!$E$14:$E$28)</f>
        <v>340</v>
      </c>
      <c r="G323" s="32">
        <f>+C323*D323*E323*F323</f>
        <v>0</v>
      </c>
      <c r="J323" s="122" t="e">
        <f>MROUND(SUM(#REF!,#REF!,#REF!,#REF!,#REF!),0.25)</f>
        <v>#REF!</v>
      </c>
      <c r="K323" t="s">
        <v>283</v>
      </c>
    </row>
    <row r="324" spans="1:11" ht="15" hidden="1" thickBot="1" x14ac:dyDescent="0.35">
      <c r="A324" s="14" t="s">
        <v>280</v>
      </c>
      <c r="B324" s="15"/>
      <c r="C324" s="58">
        <v>1</v>
      </c>
      <c r="D324" s="58">
        <v>1</v>
      </c>
      <c r="E324" s="65">
        <v>0</v>
      </c>
      <c r="F324" s="59">
        <f>IF(J287="Fire - Liberty Mutual/State Auto",100,_xlfn.XLOOKUP($J$4,LISTS!$B$32:$B$33,LISTS!$C$32:$C$33))</f>
        <v>185</v>
      </c>
      <c r="G324" s="60">
        <f>+C324*D324*E324*F324</f>
        <v>0</v>
      </c>
      <c r="J324" s="122" t="e">
        <f>MROUND(SUM(#REF!,#REF!,#REF!,#REF!,#REF!,#REF!,#REF!,#REF!),0.25)</f>
        <v>#REF!</v>
      </c>
      <c r="K324" t="s">
        <v>284</v>
      </c>
    </row>
    <row r="325" spans="1:11" hidden="1" x14ac:dyDescent="0.3">
      <c r="A325" s="27"/>
      <c r="B325" s="27"/>
      <c r="C325" s="182"/>
      <c r="D325" s="182"/>
      <c r="E325" s="63"/>
      <c r="F325" s="38"/>
      <c r="G325" s="61" cm="1">
        <f t="array" ref="G325">SUM(IFERROR(G323:G324,0))</f>
        <v>0</v>
      </c>
    </row>
    <row r="326" spans="1:11" ht="15" hidden="1" thickBot="1" x14ac:dyDescent="0.35">
      <c r="A326" s="273" t="str">
        <f>"Site Address: " &amp; 'PROJECT SUMMARY (Old)'!C79 &amp; " - " &amp; 'PROJECT SUMMARY (Old)'!D79</f>
        <v xml:space="preserve">Site Address:  - </v>
      </c>
      <c r="B326" s="273"/>
      <c r="C326" s="273"/>
      <c r="D326" s="273"/>
      <c r="E326" s="273"/>
      <c r="F326" s="273"/>
      <c r="G326" s="273"/>
      <c r="K326" s="86"/>
    </row>
    <row r="327" spans="1:11" hidden="1" x14ac:dyDescent="0.3">
      <c r="A327" s="40" t="s">
        <v>464</v>
      </c>
      <c r="B327" s="41"/>
      <c r="C327" s="11" t="s">
        <v>16</v>
      </c>
      <c r="D327" s="11" t="s">
        <v>4</v>
      </c>
      <c r="E327" s="11" t="s">
        <v>17</v>
      </c>
      <c r="F327" s="11" t="s">
        <v>6</v>
      </c>
      <c r="G327" s="12" t="s">
        <v>7</v>
      </c>
    </row>
    <row r="328" spans="1:11" hidden="1" x14ac:dyDescent="0.3">
      <c r="A328" s="26" t="s">
        <v>279</v>
      </c>
      <c r="B328" s="27"/>
      <c r="C328" s="42">
        <v>1</v>
      </c>
      <c r="D328" s="42">
        <v>1</v>
      </c>
      <c r="E328" s="64">
        <v>0</v>
      </c>
      <c r="F328" s="44" cm="1">
        <f t="array" ref="F328">_xlfn.XLOOKUP($J$2&amp;$J$4&amp;$J$5,LISTS!$D$14:$D$28&amp;LISTS!$C$14:$C$28&amp;LISTS!$B$14:$B$28,LISTS!$E$14:$E$28)</f>
        <v>340</v>
      </c>
      <c r="G328" s="32">
        <f>+C328*D328*E328*F328</f>
        <v>0</v>
      </c>
      <c r="J328" s="122" t="e">
        <f>MROUND(SUM(#REF!,#REF!,#REF!,#REF!,#REF!),0.25)</f>
        <v>#REF!</v>
      </c>
      <c r="K328" t="s">
        <v>283</v>
      </c>
    </row>
    <row r="329" spans="1:11" ht="15" hidden="1" thickBot="1" x14ac:dyDescent="0.35">
      <c r="A329" s="14" t="s">
        <v>280</v>
      </c>
      <c r="B329" s="15"/>
      <c r="C329" s="58">
        <v>1</v>
      </c>
      <c r="D329" s="58">
        <v>1</v>
      </c>
      <c r="E329" s="65">
        <v>0</v>
      </c>
      <c r="F329" s="59">
        <f>IF(J292="Fire - Liberty Mutual/State Auto",100,_xlfn.XLOOKUP($J$4,LISTS!$B$32:$B$33,LISTS!$C$32:$C$33))</f>
        <v>185</v>
      </c>
      <c r="G329" s="60">
        <f>+C329*D329*E329*F329</f>
        <v>0</v>
      </c>
      <c r="J329" s="122" t="e">
        <f>MROUND(SUM(#REF!,#REF!,#REF!,#REF!,#REF!,#REF!,#REF!,#REF!),0.25)</f>
        <v>#REF!</v>
      </c>
      <c r="K329" t="s">
        <v>284</v>
      </c>
    </row>
    <row r="330" spans="1:11" hidden="1" x14ac:dyDescent="0.3">
      <c r="A330" s="27"/>
      <c r="B330" s="27"/>
      <c r="C330" s="182"/>
      <c r="D330" s="182"/>
      <c r="E330" s="63"/>
      <c r="F330" s="38"/>
      <c r="G330" s="61" cm="1">
        <f t="array" ref="G330">SUM(IFERROR(G328:G329,0))</f>
        <v>0</v>
      </c>
    </row>
    <row r="331" spans="1:11" ht="15" hidden="1" thickBot="1" x14ac:dyDescent="0.35">
      <c r="A331" s="273" t="str">
        <f>"Site Address: " &amp; 'PROJECT SUMMARY (Old)'!C80 &amp; " - " &amp; 'PROJECT SUMMARY (Old)'!D80</f>
        <v xml:space="preserve">Site Address:  - </v>
      </c>
      <c r="B331" s="273"/>
      <c r="C331" s="273"/>
      <c r="D331" s="273"/>
      <c r="E331" s="273"/>
      <c r="F331" s="273"/>
      <c r="G331" s="273"/>
      <c r="K331" s="86"/>
    </row>
    <row r="332" spans="1:11" hidden="1" x14ac:dyDescent="0.3">
      <c r="A332" s="40" t="s">
        <v>464</v>
      </c>
      <c r="B332" s="41"/>
      <c r="C332" s="11" t="s">
        <v>16</v>
      </c>
      <c r="D332" s="11" t="s">
        <v>4</v>
      </c>
      <c r="E332" s="11" t="s">
        <v>17</v>
      </c>
      <c r="F332" s="11" t="s">
        <v>6</v>
      </c>
      <c r="G332" s="12" t="s">
        <v>7</v>
      </c>
    </row>
    <row r="333" spans="1:11" hidden="1" x14ac:dyDescent="0.3">
      <c r="A333" s="26" t="s">
        <v>279</v>
      </c>
      <c r="B333" s="27"/>
      <c r="C333" s="42">
        <v>1</v>
      </c>
      <c r="D333" s="42">
        <v>1</v>
      </c>
      <c r="E333" s="64">
        <v>0</v>
      </c>
      <c r="F333" s="44" cm="1">
        <f t="array" ref="F333">_xlfn.XLOOKUP($J$2&amp;$J$4&amp;$J$5,LISTS!$D$14:$D$28&amp;LISTS!$C$14:$C$28&amp;LISTS!$B$14:$B$28,LISTS!$E$14:$E$28)</f>
        <v>340</v>
      </c>
      <c r="G333" s="32">
        <f>+C333*D333*E333*F333</f>
        <v>0</v>
      </c>
      <c r="J333" s="122" t="e">
        <f>MROUND(SUM(#REF!,#REF!,#REF!,#REF!,#REF!),0.25)</f>
        <v>#REF!</v>
      </c>
      <c r="K333" t="s">
        <v>283</v>
      </c>
    </row>
    <row r="334" spans="1:11" ht="15" hidden="1" thickBot="1" x14ac:dyDescent="0.35">
      <c r="A334" s="14" t="s">
        <v>280</v>
      </c>
      <c r="B334" s="15"/>
      <c r="C334" s="58">
        <v>1</v>
      </c>
      <c r="D334" s="58">
        <v>1</v>
      </c>
      <c r="E334" s="65">
        <v>0</v>
      </c>
      <c r="F334" s="59">
        <f>IF(J297="Fire - Liberty Mutual/State Auto",100,_xlfn.XLOOKUP($J$4,LISTS!$B$32:$B$33,LISTS!$C$32:$C$33))</f>
        <v>185</v>
      </c>
      <c r="G334" s="60">
        <f>+C334*D334*E334*F334</f>
        <v>0</v>
      </c>
      <c r="J334" s="122" t="e">
        <f>MROUND(SUM(#REF!,#REF!,#REF!,#REF!,#REF!,#REF!,#REF!,#REF!),0.25)</f>
        <v>#REF!</v>
      </c>
      <c r="K334" t="s">
        <v>284</v>
      </c>
    </row>
    <row r="335" spans="1:11" hidden="1" x14ac:dyDescent="0.3">
      <c r="A335" s="27"/>
      <c r="B335" s="27"/>
      <c r="C335" s="182"/>
      <c r="D335" s="182"/>
      <c r="E335" s="63"/>
      <c r="F335" s="38"/>
      <c r="G335" s="61" cm="1">
        <f t="array" ref="G335">SUM(IFERROR(G333:G334,0))</f>
        <v>0</v>
      </c>
    </row>
    <row r="336" spans="1:11" ht="15" hidden="1" thickBot="1" x14ac:dyDescent="0.35">
      <c r="A336" s="273" t="str">
        <f>"Site Address: " &amp; 'PROJECT SUMMARY (Old)'!C81 &amp; " - " &amp; 'PROJECT SUMMARY (Old)'!D81</f>
        <v xml:space="preserve">Site Address:  - </v>
      </c>
      <c r="B336" s="273"/>
      <c r="C336" s="273"/>
      <c r="D336" s="273"/>
      <c r="E336" s="273"/>
      <c r="F336" s="273"/>
      <c r="G336" s="273"/>
      <c r="K336" s="86"/>
    </row>
    <row r="337" spans="1:11" hidden="1" x14ac:dyDescent="0.3">
      <c r="A337" s="40" t="s">
        <v>464</v>
      </c>
      <c r="B337" s="41"/>
      <c r="C337" s="11" t="s">
        <v>16</v>
      </c>
      <c r="D337" s="11" t="s">
        <v>4</v>
      </c>
      <c r="E337" s="11" t="s">
        <v>17</v>
      </c>
      <c r="F337" s="11" t="s">
        <v>6</v>
      </c>
      <c r="G337" s="12" t="s">
        <v>7</v>
      </c>
    </row>
    <row r="338" spans="1:11" hidden="1" x14ac:dyDescent="0.3">
      <c r="A338" s="26" t="s">
        <v>279</v>
      </c>
      <c r="B338" s="27"/>
      <c r="C338" s="42">
        <v>1</v>
      </c>
      <c r="D338" s="42">
        <v>1</v>
      </c>
      <c r="E338" s="64">
        <v>0</v>
      </c>
      <c r="F338" s="44" cm="1">
        <f t="array" ref="F338">_xlfn.XLOOKUP($J$2&amp;$J$4&amp;$J$5,LISTS!$D$14:$D$28&amp;LISTS!$C$14:$C$28&amp;LISTS!$B$14:$B$28,LISTS!$E$14:$E$28)</f>
        <v>340</v>
      </c>
      <c r="G338" s="32">
        <f>+C338*D338*E338*F338</f>
        <v>0</v>
      </c>
      <c r="J338" s="122" t="e">
        <f>MROUND(SUM(#REF!,#REF!,#REF!,#REF!,#REF!),0.25)</f>
        <v>#REF!</v>
      </c>
      <c r="K338" t="s">
        <v>283</v>
      </c>
    </row>
    <row r="339" spans="1:11" ht="15" hidden="1" thickBot="1" x14ac:dyDescent="0.35">
      <c r="A339" s="14" t="s">
        <v>280</v>
      </c>
      <c r="B339" s="15"/>
      <c r="C339" s="58">
        <v>1</v>
      </c>
      <c r="D339" s="58">
        <v>1</v>
      </c>
      <c r="E339" s="65">
        <v>0</v>
      </c>
      <c r="F339" s="59">
        <f>IF(J302="Fire - Liberty Mutual/State Auto",100,_xlfn.XLOOKUP($J$4,LISTS!$B$32:$B$33,LISTS!$C$32:$C$33))</f>
        <v>185</v>
      </c>
      <c r="G339" s="60">
        <f>+C339*D339*E339*F339</f>
        <v>0</v>
      </c>
      <c r="J339" s="122" t="e">
        <f>MROUND(SUM(#REF!,#REF!,#REF!,#REF!,#REF!,#REF!,#REF!,#REF!),0.25)</f>
        <v>#REF!</v>
      </c>
      <c r="K339" t="s">
        <v>284</v>
      </c>
    </row>
    <row r="340" spans="1:11" hidden="1" x14ac:dyDescent="0.3">
      <c r="A340" s="27"/>
      <c r="B340" s="27"/>
      <c r="C340" s="182"/>
      <c r="D340" s="182"/>
      <c r="E340" s="63"/>
      <c r="F340" s="38"/>
      <c r="G340" s="61" cm="1">
        <f t="array" ref="G340">SUM(IFERROR(G338:G339,0))</f>
        <v>0</v>
      </c>
    </row>
    <row r="341" spans="1:11" ht="15" hidden="1" thickBot="1" x14ac:dyDescent="0.35">
      <c r="A341" s="273" t="str">
        <f>"Site Address: " &amp; 'PROJECT SUMMARY (Old)'!C82 &amp; " - " &amp; 'PROJECT SUMMARY (Old)'!D82</f>
        <v xml:space="preserve">Site Address:  - </v>
      </c>
      <c r="B341" s="273"/>
      <c r="C341" s="273"/>
      <c r="D341" s="273"/>
      <c r="E341" s="273"/>
      <c r="F341" s="273"/>
      <c r="G341" s="273"/>
      <c r="K341" s="86"/>
    </row>
    <row r="342" spans="1:11" hidden="1" x14ac:dyDescent="0.3">
      <c r="A342" s="40" t="s">
        <v>464</v>
      </c>
      <c r="B342" s="41"/>
      <c r="C342" s="11" t="s">
        <v>16</v>
      </c>
      <c r="D342" s="11" t="s">
        <v>4</v>
      </c>
      <c r="E342" s="11" t="s">
        <v>17</v>
      </c>
      <c r="F342" s="11" t="s">
        <v>6</v>
      </c>
      <c r="G342" s="12" t="s">
        <v>7</v>
      </c>
    </row>
    <row r="343" spans="1:11" hidden="1" x14ac:dyDescent="0.3">
      <c r="A343" s="26" t="s">
        <v>279</v>
      </c>
      <c r="B343" s="27"/>
      <c r="C343" s="42">
        <v>1</v>
      </c>
      <c r="D343" s="42">
        <v>1</v>
      </c>
      <c r="E343" s="64">
        <v>0</v>
      </c>
      <c r="F343" s="44" cm="1">
        <f t="array" ref="F343">_xlfn.XLOOKUP($J$2&amp;$J$4&amp;$J$5,LISTS!$D$14:$D$28&amp;LISTS!$C$14:$C$28&amp;LISTS!$B$14:$B$28,LISTS!$E$14:$E$28)</f>
        <v>340</v>
      </c>
      <c r="G343" s="32">
        <f>+C343*D343*E343*F343</f>
        <v>0</v>
      </c>
      <c r="J343" s="122" t="e">
        <f>MROUND(SUM(#REF!,#REF!,#REF!,#REF!,#REF!),0.25)</f>
        <v>#REF!</v>
      </c>
      <c r="K343" t="s">
        <v>283</v>
      </c>
    </row>
    <row r="344" spans="1:11" ht="15" hidden="1" thickBot="1" x14ac:dyDescent="0.35">
      <c r="A344" s="14" t="s">
        <v>280</v>
      </c>
      <c r="B344" s="15"/>
      <c r="C344" s="58">
        <v>1</v>
      </c>
      <c r="D344" s="58">
        <v>1</v>
      </c>
      <c r="E344" s="65">
        <v>0</v>
      </c>
      <c r="F344" s="59">
        <f>IF(J307="Fire - Liberty Mutual/State Auto",100,_xlfn.XLOOKUP($J$4,LISTS!$B$32:$B$33,LISTS!$C$32:$C$33))</f>
        <v>185</v>
      </c>
      <c r="G344" s="60">
        <f>+C344*D344*E344*F344</f>
        <v>0</v>
      </c>
      <c r="J344" s="122" t="e">
        <f>MROUND(SUM(#REF!,#REF!,#REF!,#REF!,#REF!,#REF!,#REF!,#REF!),0.25)</f>
        <v>#REF!</v>
      </c>
      <c r="K344" t="s">
        <v>284</v>
      </c>
    </row>
    <row r="345" spans="1:11" hidden="1" x14ac:dyDescent="0.3">
      <c r="A345" s="27"/>
      <c r="B345" s="27"/>
      <c r="C345" s="182"/>
      <c r="D345" s="182"/>
      <c r="E345" s="63"/>
      <c r="F345" s="38"/>
      <c r="G345" s="61" cm="1">
        <f t="array" ref="G345">SUM(IFERROR(G343:G344,0))</f>
        <v>0</v>
      </c>
    </row>
    <row r="346" spans="1:11" ht="15" hidden="1" thickBot="1" x14ac:dyDescent="0.35">
      <c r="A346" s="273" t="str">
        <f>"Site Address: " &amp; 'PROJECT SUMMARY (Old)'!C83 &amp; " - " &amp; 'PROJECT SUMMARY (Old)'!D83</f>
        <v xml:space="preserve">Site Address:  - </v>
      </c>
      <c r="B346" s="273"/>
      <c r="C346" s="273"/>
      <c r="D346" s="273"/>
      <c r="E346" s="273"/>
      <c r="F346" s="273"/>
      <c r="G346" s="273"/>
      <c r="K346" s="86"/>
    </row>
    <row r="347" spans="1:11" hidden="1" x14ac:dyDescent="0.3">
      <c r="A347" s="40" t="s">
        <v>464</v>
      </c>
      <c r="B347" s="41"/>
      <c r="C347" s="11" t="s">
        <v>16</v>
      </c>
      <c r="D347" s="11" t="s">
        <v>4</v>
      </c>
      <c r="E347" s="11" t="s">
        <v>17</v>
      </c>
      <c r="F347" s="11" t="s">
        <v>6</v>
      </c>
      <c r="G347" s="12" t="s">
        <v>7</v>
      </c>
    </row>
    <row r="348" spans="1:11" hidden="1" x14ac:dyDescent="0.3">
      <c r="A348" s="26" t="s">
        <v>279</v>
      </c>
      <c r="B348" s="27"/>
      <c r="C348" s="42">
        <v>1</v>
      </c>
      <c r="D348" s="42">
        <v>1</v>
      </c>
      <c r="E348" s="64">
        <v>0</v>
      </c>
      <c r="F348" s="44" cm="1">
        <f t="array" ref="F348">_xlfn.XLOOKUP($J$2&amp;$J$4&amp;$J$5,LISTS!$D$14:$D$28&amp;LISTS!$C$14:$C$28&amp;LISTS!$B$14:$B$28,LISTS!$E$14:$E$28)</f>
        <v>340</v>
      </c>
      <c r="G348" s="32">
        <f>+C348*D348*E348*F348</f>
        <v>0</v>
      </c>
      <c r="J348" s="122" t="e">
        <f>MROUND(SUM(#REF!,#REF!,#REF!,#REF!,#REF!),0.25)</f>
        <v>#REF!</v>
      </c>
      <c r="K348" t="s">
        <v>283</v>
      </c>
    </row>
    <row r="349" spans="1:11" ht="15" hidden="1" thickBot="1" x14ac:dyDescent="0.35">
      <c r="A349" s="14" t="s">
        <v>280</v>
      </c>
      <c r="B349" s="15"/>
      <c r="C349" s="58">
        <v>1</v>
      </c>
      <c r="D349" s="58">
        <v>1</v>
      </c>
      <c r="E349" s="65">
        <v>0</v>
      </c>
      <c r="F349" s="59">
        <f>IF(J312="Fire - Liberty Mutual/State Auto",100,_xlfn.XLOOKUP($J$4,LISTS!$B$32:$B$33,LISTS!$C$32:$C$33))</f>
        <v>185</v>
      </c>
      <c r="G349" s="60">
        <f>+C349*D349*E349*F349</f>
        <v>0</v>
      </c>
      <c r="J349" s="122" t="e">
        <f>MROUND(SUM(#REF!,#REF!,#REF!,#REF!,#REF!,#REF!,#REF!,#REF!),0.25)</f>
        <v>#REF!</v>
      </c>
      <c r="K349" t="s">
        <v>284</v>
      </c>
    </row>
    <row r="350" spans="1:11" hidden="1" x14ac:dyDescent="0.3">
      <c r="A350" s="27"/>
      <c r="B350" s="27"/>
      <c r="C350" s="182"/>
      <c r="D350" s="182"/>
      <c r="E350" s="63"/>
      <c r="F350" s="38"/>
      <c r="G350" s="61" cm="1">
        <f t="array" ref="G350">SUM(IFERROR(G348:G349,0))</f>
        <v>0</v>
      </c>
    </row>
    <row r="351" spans="1:11" ht="15" hidden="1" thickBot="1" x14ac:dyDescent="0.35">
      <c r="A351" s="273" t="str">
        <f>"Site Address: " &amp; 'PROJECT SUMMARY (Old)'!C84 &amp; " - " &amp; 'PROJECT SUMMARY (Old)'!D84</f>
        <v xml:space="preserve">Site Address:  - </v>
      </c>
      <c r="B351" s="273"/>
      <c r="C351" s="273"/>
      <c r="D351" s="273"/>
      <c r="E351" s="273"/>
      <c r="F351" s="273"/>
      <c r="G351" s="273"/>
      <c r="K351" s="86"/>
    </row>
    <row r="352" spans="1:11" hidden="1" x14ac:dyDescent="0.3">
      <c r="A352" s="40" t="s">
        <v>464</v>
      </c>
      <c r="B352" s="41"/>
      <c r="C352" s="11" t="s">
        <v>16</v>
      </c>
      <c r="D352" s="11" t="s">
        <v>4</v>
      </c>
      <c r="E352" s="11" t="s">
        <v>17</v>
      </c>
      <c r="F352" s="11" t="s">
        <v>6</v>
      </c>
      <c r="G352" s="12" t="s">
        <v>7</v>
      </c>
    </row>
    <row r="353" spans="1:11" hidden="1" x14ac:dyDescent="0.3">
      <c r="A353" s="26" t="s">
        <v>279</v>
      </c>
      <c r="B353" s="27"/>
      <c r="C353" s="42">
        <v>1</v>
      </c>
      <c r="D353" s="42">
        <v>1</v>
      </c>
      <c r="E353" s="64">
        <v>0</v>
      </c>
      <c r="F353" s="44" cm="1">
        <f t="array" ref="F353">_xlfn.XLOOKUP($J$2&amp;$J$4&amp;$J$5,LISTS!$D$14:$D$28&amp;LISTS!$C$14:$C$28&amp;LISTS!$B$14:$B$28,LISTS!$E$14:$E$28)</f>
        <v>340</v>
      </c>
      <c r="G353" s="32">
        <f>+C353*D353*E353*F353</f>
        <v>0</v>
      </c>
      <c r="J353" s="122" t="e">
        <f>MROUND(SUM(#REF!,#REF!,#REF!,#REF!,#REF!),0.25)</f>
        <v>#REF!</v>
      </c>
      <c r="K353" t="s">
        <v>283</v>
      </c>
    </row>
    <row r="354" spans="1:11" ht="15" hidden="1" thickBot="1" x14ac:dyDescent="0.35">
      <c r="A354" s="14" t="s">
        <v>280</v>
      </c>
      <c r="B354" s="15"/>
      <c r="C354" s="58">
        <v>1</v>
      </c>
      <c r="D354" s="58">
        <v>1</v>
      </c>
      <c r="E354" s="65">
        <v>0</v>
      </c>
      <c r="F354" s="59">
        <f>IF(J317="Fire - Liberty Mutual/State Auto",100,_xlfn.XLOOKUP($J$4,LISTS!$B$32:$B$33,LISTS!$C$32:$C$33))</f>
        <v>185</v>
      </c>
      <c r="G354" s="60">
        <f>+C354*D354*E354*F354</f>
        <v>0</v>
      </c>
      <c r="J354" s="122" t="e">
        <f>MROUND(SUM(#REF!,#REF!,#REF!,#REF!,#REF!,#REF!,#REF!,#REF!),0.25)</f>
        <v>#REF!</v>
      </c>
      <c r="K354" t="s">
        <v>284</v>
      </c>
    </row>
    <row r="355" spans="1:11" hidden="1" x14ac:dyDescent="0.3">
      <c r="A355" s="27"/>
      <c r="B355" s="27"/>
      <c r="C355" s="182"/>
      <c r="D355" s="182"/>
      <c r="E355" s="63"/>
      <c r="F355" s="38"/>
      <c r="G355" s="61" cm="1">
        <f t="array" ref="G355">SUM(IFERROR(G353:G354,0))</f>
        <v>0</v>
      </c>
    </row>
    <row r="356" spans="1:11" ht="15" hidden="1" thickBot="1" x14ac:dyDescent="0.35">
      <c r="A356" s="273" t="str">
        <f>"Site Address: " &amp; 'PROJECT SUMMARY (Old)'!C85 &amp; " - " &amp; 'PROJECT SUMMARY (Old)'!D85</f>
        <v xml:space="preserve">Site Address:  - </v>
      </c>
      <c r="B356" s="273"/>
      <c r="C356" s="273"/>
      <c r="D356" s="273"/>
      <c r="E356" s="273"/>
      <c r="F356" s="273"/>
      <c r="G356" s="273"/>
      <c r="K356" s="86"/>
    </row>
    <row r="357" spans="1:11" hidden="1" x14ac:dyDescent="0.3">
      <c r="A357" s="40" t="s">
        <v>464</v>
      </c>
      <c r="B357" s="41"/>
      <c r="C357" s="11" t="s">
        <v>16</v>
      </c>
      <c r="D357" s="11" t="s">
        <v>4</v>
      </c>
      <c r="E357" s="11" t="s">
        <v>17</v>
      </c>
      <c r="F357" s="11" t="s">
        <v>6</v>
      </c>
      <c r="G357" s="12" t="s">
        <v>7</v>
      </c>
    </row>
    <row r="358" spans="1:11" hidden="1" x14ac:dyDescent="0.3">
      <c r="A358" s="26" t="s">
        <v>279</v>
      </c>
      <c r="B358" s="27"/>
      <c r="C358" s="42">
        <v>1</v>
      </c>
      <c r="D358" s="42">
        <v>1</v>
      </c>
      <c r="E358" s="64">
        <v>0</v>
      </c>
      <c r="F358" s="44" cm="1">
        <f t="array" ref="F358">_xlfn.XLOOKUP($J$2&amp;$J$4&amp;$J$5,LISTS!$D$14:$D$28&amp;LISTS!$C$14:$C$28&amp;LISTS!$B$14:$B$28,LISTS!$E$14:$E$28)</f>
        <v>340</v>
      </c>
      <c r="G358" s="32">
        <f>+C358*D358*E358*F358</f>
        <v>0</v>
      </c>
      <c r="J358" s="122" t="e">
        <f>MROUND(SUM(#REF!,#REF!,#REF!,#REF!,#REF!),0.25)</f>
        <v>#REF!</v>
      </c>
      <c r="K358" t="s">
        <v>283</v>
      </c>
    </row>
    <row r="359" spans="1:11" ht="15" hidden="1" thickBot="1" x14ac:dyDescent="0.35">
      <c r="A359" s="14" t="s">
        <v>280</v>
      </c>
      <c r="B359" s="15"/>
      <c r="C359" s="58">
        <v>1</v>
      </c>
      <c r="D359" s="58">
        <v>1</v>
      </c>
      <c r="E359" s="65">
        <v>0</v>
      </c>
      <c r="F359" s="59">
        <f>IF(J322="Fire - Liberty Mutual/State Auto",100,_xlfn.XLOOKUP($J$4,LISTS!$B$32:$B$33,LISTS!$C$32:$C$33))</f>
        <v>185</v>
      </c>
      <c r="G359" s="60">
        <f>+C359*D359*E359*F359</f>
        <v>0</v>
      </c>
      <c r="J359" s="122" t="e">
        <f>MROUND(SUM(#REF!,#REF!,#REF!,#REF!,#REF!,#REF!,#REF!,#REF!),0.25)</f>
        <v>#REF!</v>
      </c>
      <c r="K359" t="s">
        <v>284</v>
      </c>
    </row>
    <row r="360" spans="1:11" hidden="1" x14ac:dyDescent="0.3">
      <c r="A360" s="27"/>
      <c r="B360" s="27"/>
      <c r="C360" s="182"/>
      <c r="D360" s="182"/>
      <c r="E360" s="63"/>
      <c r="F360" s="38"/>
      <c r="G360" s="61" cm="1">
        <f t="array" ref="G360">SUM(IFERROR(G358:G359,0))</f>
        <v>0</v>
      </c>
    </row>
    <row r="361" spans="1:11" ht="15" hidden="1" thickBot="1" x14ac:dyDescent="0.35">
      <c r="A361" s="273" t="str">
        <f>"Site Address: " &amp; 'PROJECT SUMMARY (Old)'!C86 &amp; " - " &amp; 'PROJECT SUMMARY (Old)'!D86</f>
        <v xml:space="preserve">Site Address:  - </v>
      </c>
      <c r="B361" s="273"/>
      <c r="C361" s="273"/>
      <c r="D361" s="273"/>
      <c r="E361" s="273"/>
      <c r="F361" s="273"/>
      <c r="G361" s="273"/>
      <c r="K361" s="86"/>
    </row>
    <row r="362" spans="1:11" hidden="1" x14ac:dyDescent="0.3">
      <c r="A362" s="40" t="s">
        <v>464</v>
      </c>
      <c r="B362" s="41"/>
      <c r="C362" s="11" t="s">
        <v>16</v>
      </c>
      <c r="D362" s="11" t="s">
        <v>4</v>
      </c>
      <c r="E362" s="11" t="s">
        <v>17</v>
      </c>
      <c r="F362" s="11" t="s">
        <v>6</v>
      </c>
      <c r="G362" s="12" t="s">
        <v>7</v>
      </c>
    </row>
    <row r="363" spans="1:11" hidden="1" x14ac:dyDescent="0.3">
      <c r="A363" s="26" t="s">
        <v>279</v>
      </c>
      <c r="B363" s="27"/>
      <c r="C363" s="42">
        <v>1</v>
      </c>
      <c r="D363" s="42">
        <v>1</v>
      </c>
      <c r="E363" s="64">
        <v>0</v>
      </c>
      <c r="F363" s="44" cm="1">
        <f t="array" ref="F363">_xlfn.XLOOKUP($J$2&amp;$J$4&amp;$J$5,LISTS!$D$14:$D$28&amp;LISTS!$C$14:$C$28&amp;LISTS!$B$14:$B$28,LISTS!$E$14:$E$28)</f>
        <v>340</v>
      </c>
      <c r="G363" s="32">
        <f>+C363*D363*E363*F363</f>
        <v>0</v>
      </c>
      <c r="J363" s="122" t="e">
        <f>MROUND(SUM(#REF!,#REF!,#REF!,#REF!,#REF!),0.25)</f>
        <v>#REF!</v>
      </c>
      <c r="K363" t="s">
        <v>283</v>
      </c>
    </row>
    <row r="364" spans="1:11" ht="15" hidden="1" thickBot="1" x14ac:dyDescent="0.35">
      <c r="A364" s="14" t="s">
        <v>280</v>
      </c>
      <c r="B364" s="15"/>
      <c r="C364" s="58">
        <v>1</v>
      </c>
      <c r="D364" s="58">
        <v>1</v>
      </c>
      <c r="E364" s="65">
        <v>0</v>
      </c>
      <c r="F364" s="59">
        <f>IF(J327="Fire - Liberty Mutual/State Auto",100,_xlfn.XLOOKUP($J$4,LISTS!$B$32:$B$33,LISTS!$C$32:$C$33))</f>
        <v>185</v>
      </c>
      <c r="G364" s="60">
        <f>+C364*D364*E364*F364</f>
        <v>0</v>
      </c>
      <c r="J364" s="122" t="e">
        <f>MROUND(SUM(#REF!,#REF!,#REF!,#REF!,#REF!,#REF!,#REF!,#REF!),0.25)</f>
        <v>#REF!</v>
      </c>
      <c r="K364" t="s">
        <v>284</v>
      </c>
    </row>
    <row r="365" spans="1:11" hidden="1" x14ac:dyDescent="0.3">
      <c r="A365" s="27"/>
      <c r="B365" s="27"/>
      <c r="C365" s="182"/>
      <c r="D365" s="182"/>
      <c r="E365" s="63"/>
      <c r="F365" s="38"/>
      <c r="G365" s="61" cm="1">
        <f t="array" ref="G365">SUM(IFERROR(G363:G364,0))</f>
        <v>0</v>
      </c>
    </row>
    <row r="366" spans="1:11" ht="15" hidden="1" thickBot="1" x14ac:dyDescent="0.35">
      <c r="A366" s="273" t="str">
        <f>"Site Address: " &amp; 'PROJECT SUMMARY (Old)'!C87 &amp; " - " &amp; 'PROJECT SUMMARY (Old)'!D87</f>
        <v xml:space="preserve">Site Address:  - </v>
      </c>
      <c r="B366" s="273"/>
      <c r="C366" s="273"/>
      <c r="D366" s="273"/>
      <c r="E366" s="273"/>
      <c r="F366" s="273"/>
      <c r="G366" s="273"/>
      <c r="K366" s="86"/>
    </row>
    <row r="367" spans="1:11" hidden="1" x14ac:dyDescent="0.3">
      <c r="A367" s="40" t="s">
        <v>464</v>
      </c>
      <c r="B367" s="41"/>
      <c r="C367" s="11" t="s">
        <v>16</v>
      </c>
      <c r="D367" s="11" t="s">
        <v>4</v>
      </c>
      <c r="E367" s="11" t="s">
        <v>17</v>
      </c>
      <c r="F367" s="11" t="s">
        <v>6</v>
      </c>
      <c r="G367" s="12" t="s">
        <v>7</v>
      </c>
    </row>
    <row r="368" spans="1:11" hidden="1" x14ac:dyDescent="0.3">
      <c r="A368" s="26" t="s">
        <v>279</v>
      </c>
      <c r="B368" s="27"/>
      <c r="C368" s="42">
        <v>1</v>
      </c>
      <c r="D368" s="42">
        <v>1</v>
      </c>
      <c r="E368" s="64">
        <v>0</v>
      </c>
      <c r="F368" s="44" cm="1">
        <f t="array" ref="F368">_xlfn.XLOOKUP($J$2&amp;$J$4&amp;$J$5,LISTS!$D$14:$D$28&amp;LISTS!$C$14:$C$28&amp;LISTS!$B$14:$B$28,LISTS!$E$14:$E$28)</f>
        <v>340</v>
      </c>
      <c r="G368" s="32">
        <f>+C368*D368*E368*F368</f>
        <v>0</v>
      </c>
      <c r="J368" s="122" t="e">
        <f>MROUND(SUM(#REF!,#REF!,#REF!,#REF!,#REF!),0.25)</f>
        <v>#REF!</v>
      </c>
      <c r="K368" t="s">
        <v>283</v>
      </c>
    </row>
    <row r="369" spans="1:11" ht="15" hidden="1" thickBot="1" x14ac:dyDescent="0.35">
      <c r="A369" s="14" t="s">
        <v>280</v>
      </c>
      <c r="B369" s="15"/>
      <c r="C369" s="58">
        <v>1</v>
      </c>
      <c r="D369" s="58">
        <v>1</v>
      </c>
      <c r="E369" s="65">
        <v>0</v>
      </c>
      <c r="F369" s="59">
        <f>IF(J332="Fire - Liberty Mutual/State Auto",100,_xlfn.XLOOKUP($J$4,LISTS!$B$32:$B$33,LISTS!$C$32:$C$33))</f>
        <v>185</v>
      </c>
      <c r="G369" s="60">
        <f>+C369*D369*E369*F369</f>
        <v>0</v>
      </c>
      <c r="J369" s="122" t="e">
        <f>MROUND(SUM(#REF!,#REF!,#REF!,#REF!,#REF!,#REF!,#REF!,#REF!),0.25)</f>
        <v>#REF!</v>
      </c>
      <c r="K369" t="s">
        <v>284</v>
      </c>
    </row>
    <row r="370" spans="1:11" hidden="1" x14ac:dyDescent="0.3">
      <c r="A370" s="27"/>
      <c r="B370" s="27"/>
      <c r="C370" s="182"/>
      <c r="D370" s="182"/>
      <c r="E370" s="63"/>
      <c r="F370" s="38"/>
      <c r="G370" s="61" cm="1">
        <f t="array" ref="G370">SUM(IFERROR(G368:G369,0))</f>
        <v>0</v>
      </c>
    </row>
    <row r="371" spans="1:11" ht="15" hidden="1" thickBot="1" x14ac:dyDescent="0.35">
      <c r="A371" s="273" t="str">
        <f>"Site Address: " &amp; 'PROJECT SUMMARY (Old)'!C88 &amp; " - " &amp; 'PROJECT SUMMARY (Old)'!D88</f>
        <v xml:space="preserve">Site Address:  - </v>
      </c>
      <c r="B371" s="273"/>
      <c r="C371" s="273"/>
      <c r="D371" s="273"/>
      <c r="E371" s="273"/>
      <c r="F371" s="273"/>
      <c r="G371" s="273"/>
      <c r="K371" s="86"/>
    </row>
    <row r="372" spans="1:11" hidden="1" x14ac:dyDescent="0.3">
      <c r="A372" s="40" t="s">
        <v>464</v>
      </c>
      <c r="B372" s="41"/>
      <c r="C372" s="11" t="s">
        <v>16</v>
      </c>
      <c r="D372" s="11" t="s">
        <v>4</v>
      </c>
      <c r="E372" s="11" t="s">
        <v>17</v>
      </c>
      <c r="F372" s="11" t="s">
        <v>6</v>
      </c>
      <c r="G372" s="12" t="s">
        <v>7</v>
      </c>
    </row>
    <row r="373" spans="1:11" hidden="1" x14ac:dyDescent="0.3">
      <c r="A373" s="26" t="s">
        <v>279</v>
      </c>
      <c r="B373" s="27"/>
      <c r="C373" s="42">
        <v>1</v>
      </c>
      <c r="D373" s="42">
        <v>1</v>
      </c>
      <c r="E373" s="64">
        <v>0</v>
      </c>
      <c r="F373" s="44" cm="1">
        <f t="array" ref="F373">_xlfn.XLOOKUP($J$2&amp;$J$4&amp;$J$5,LISTS!$D$14:$D$28&amp;LISTS!$C$14:$C$28&amp;LISTS!$B$14:$B$28,LISTS!$E$14:$E$28)</f>
        <v>340</v>
      </c>
      <c r="G373" s="32">
        <f>+C373*D373*E373*F373</f>
        <v>0</v>
      </c>
      <c r="J373" s="122" t="e">
        <f>MROUND(SUM(#REF!,#REF!,#REF!,#REF!,#REF!),0.25)</f>
        <v>#REF!</v>
      </c>
      <c r="K373" t="s">
        <v>283</v>
      </c>
    </row>
    <row r="374" spans="1:11" ht="15" hidden="1" thickBot="1" x14ac:dyDescent="0.35">
      <c r="A374" s="14" t="s">
        <v>280</v>
      </c>
      <c r="B374" s="15"/>
      <c r="C374" s="58">
        <v>1</v>
      </c>
      <c r="D374" s="58">
        <v>1</v>
      </c>
      <c r="E374" s="65">
        <v>0</v>
      </c>
      <c r="F374" s="59">
        <f>IF(J337="Fire - Liberty Mutual/State Auto",100,_xlfn.XLOOKUP($J$4,LISTS!$B$32:$B$33,LISTS!$C$32:$C$33))</f>
        <v>185</v>
      </c>
      <c r="G374" s="60">
        <f>+C374*D374*E374*F374</f>
        <v>0</v>
      </c>
      <c r="J374" s="122" t="e">
        <f>MROUND(SUM(#REF!,#REF!,#REF!,#REF!,#REF!,#REF!,#REF!,#REF!),0.25)</f>
        <v>#REF!</v>
      </c>
      <c r="K374" t="s">
        <v>284</v>
      </c>
    </row>
    <row r="375" spans="1:11" hidden="1" x14ac:dyDescent="0.3">
      <c r="A375" s="27"/>
      <c r="B375" s="27"/>
      <c r="C375" s="182"/>
      <c r="D375" s="182"/>
      <c r="E375" s="63"/>
      <c r="F375" s="38"/>
      <c r="G375" s="61" cm="1">
        <f t="array" ref="G375">SUM(IFERROR(G373:G374,0))</f>
        <v>0</v>
      </c>
    </row>
    <row r="376" spans="1:11" ht="15" hidden="1" thickBot="1" x14ac:dyDescent="0.35">
      <c r="A376" s="273" t="str">
        <f>"Site Address: " &amp; 'PROJECT SUMMARY (Old)'!C89 &amp; " - " &amp; 'PROJECT SUMMARY (Old)'!D89</f>
        <v xml:space="preserve">Site Address:  - </v>
      </c>
      <c r="B376" s="273"/>
      <c r="C376" s="273"/>
      <c r="D376" s="273"/>
      <c r="E376" s="273"/>
      <c r="F376" s="273"/>
      <c r="G376" s="273"/>
      <c r="K376" s="86"/>
    </row>
    <row r="377" spans="1:11" hidden="1" x14ac:dyDescent="0.3">
      <c r="A377" s="40" t="s">
        <v>464</v>
      </c>
      <c r="B377" s="41"/>
      <c r="C377" s="11" t="s">
        <v>16</v>
      </c>
      <c r="D377" s="11" t="s">
        <v>4</v>
      </c>
      <c r="E377" s="11" t="s">
        <v>17</v>
      </c>
      <c r="F377" s="11" t="s">
        <v>6</v>
      </c>
      <c r="G377" s="12" t="s">
        <v>7</v>
      </c>
    </row>
    <row r="378" spans="1:11" hidden="1" x14ac:dyDescent="0.3">
      <c r="A378" s="26" t="s">
        <v>279</v>
      </c>
      <c r="B378" s="27"/>
      <c r="C378" s="42">
        <v>1</v>
      </c>
      <c r="D378" s="42">
        <v>1</v>
      </c>
      <c r="E378" s="64">
        <v>0</v>
      </c>
      <c r="F378" s="44" cm="1">
        <f t="array" ref="F378">_xlfn.XLOOKUP($J$2&amp;$J$4&amp;$J$5,LISTS!$D$14:$D$28&amp;LISTS!$C$14:$C$28&amp;LISTS!$B$14:$B$28,LISTS!$E$14:$E$28)</f>
        <v>340</v>
      </c>
      <c r="G378" s="32">
        <f>+C378*D378*E378*F378</f>
        <v>0</v>
      </c>
      <c r="J378" s="122" t="e">
        <f>MROUND(SUM(#REF!,#REF!,#REF!,#REF!,#REF!),0.25)</f>
        <v>#REF!</v>
      </c>
      <c r="K378" t="s">
        <v>283</v>
      </c>
    </row>
    <row r="379" spans="1:11" ht="15" hidden="1" thickBot="1" x14ac:dyDescent="0.35">
      <c r="A379" s="14" t="s">
        <v>280</v>
      </c>
      <c r="B379" s="15"/>
      <c r="C379" s="58">
        <v>1</v>
      </c>
      <c r="D379" s="58">
        <v>1</v>
      </c>
      <c r="E379" s="65">
        <v>0</v>
      </c>
      <c r="F379" s="59">
        <f>IF(J342="Fire - Liberty Mutual/State Auto",100,_xlfn.XLOOKUP($J$4,LISTS!$B$32:$B$33,LISTS!$C$32:$C$33))</f>
        <v>185</v>
      </c>
      <c r="G379" s="60">
        <f>+C379*D379*E379*F379</f>
        <v>0</v>
      </c>
      <c r="J379" s="122" t="e">
        <f>MROUND(SUM(#REF!,#REF!,#REF!,#REF!,#REF!,#REF!,#REF!,#REF!),0.25)</f>
        <v>#REF!</v>
      </c>
      <c r="K379" t="s">
        <v>284</v>
      </c>
    </row>
    <row r="380" spans="1:11" hidden="1" x14ac:dyDescent="0.3">
      <c r="A380" s="27"/>
      <c r="B380" s="27"/>
      <c r="C380" s="182"/>
      <c r="D380" s="182"/>
      <c r="E380" s="63"/>
      <c r="F380" s="38"/>
      <c r="G380" s="61" cm="1">
        <f t="array" ref="G380">SUM(IFERROR(G378:G379,0))</f>
        <v>0</v>
      </c>
    </row>
    <row r="381" spans="1:11" ht="15" hidden="1" thickBot="1" x14ac:dyDescent="0.35">
      <c r="A381" s="273" t="str">
        <f>"Site Address: " &amp; 'PROJECT SUMMARY (Old)'!C90 &amp; " - " &amp; 'PROJECT SUMMARY (Old)'!D90</f>
        <v xml:space="preserve">Site Address:  - </v>
      </c>
      <c r="B381" s="273"/>
      <c r="C381" s="273"/>
      <c r="D381" s="273"/>
      <c r="E381" s="273"/>
      <c r="F381" s="273"/>
      <c r="G381" s="273"/>
      <c r="K381" s="86"/>
    </row>
    <row r="382" spans="1:11" hidden="1" x14ac:dyDescent="0.3">
      <c r="A382" s="40" t="s">
        <v>22</v>
      </c>
      <c r="B382" s="41"/>
      <c r="C382" s="11" t="s">
        <v>16</v>
      </c>
      <c r="D382" s="11" t="s">
        <v>4</v>
      </c>
      <c r="E382" s="11" t="s">
        <v>17</v>
      </c>
      <c r="F382" s="11" t="s">
        <v>6</v>
      </c>
      <c r="G382" s="12" t="s">
        <v>7</v>
      </c>
    </row>
    <row r="383" spans="1:11" hidden="1" x14ac:dyDescent="0.3">
      <c r="A383" s="26" t="s">
        <v>279</v>
      </c>
      <c r="B383" s="27"/>
      <c r="C383" s="42">
        <v>1</v>
      </c>
      <c r="D383" s="42">
        <v>1</v>
      </c>
      <c r="E383" s="64">
        <v>0</v>
      </c>
      <c r="F383" s="44" cm="1">
        <f t="array" ref="F383">_xlfn.XLOOKUP($J$2&amp;$J$4&amp;$J$5,LISTS!$D$14:$D$28&amp;LISTS!$C$14:$C$28&amp;LISTS!$B$14:$B$28,LISTS!$E$14:$E$28)</f>
        <v>340</v>
      </c>
      <c r="G383" s="32">
        <f>+C383*D383*E383*F383</f>
        <v>0</v>
      </c>
      <c r="J383" s="122" t="e">
        <f>MROUND(SUM(#REF!,#REF!,#REF!,#REF!,#REF!),0.25)</f>
        <v>#REF!</v>
      </c>
      <c r="K383" t="s">
        <v>283</v>
      </c>
    </row>
    <row r="384" spans="1:11" ht="15" hidden="1" thickBot="1" x14ac:dyDescent="0.35">
      <c r="A384" s="14" t="s">
        <v>280</v>
      </c>
      <c r="B384" s="15"/>
      <c r="C384" s="58">
        <v>1</v>
      </c>
      <c r="D384" s="58">
        <v>1</v>
      </c>
      <c r="E384" s="65">
        <v>0</v>
      </c>
      <c r="F384" s="59">
        <f>IF(J347="Fire - Liberty Mutual/State Auto",100,_xlfn.XLOOKUP($J$4,LISTS!$B$32:$B$33,LISTS!$C$32:$C$33))</f>
        <v>185</v>
      </c>
      <c r="G384" s="60">
        <f>+C384*D384*E384*F384</f>
        <v>0</v>
      </c>
      <c r="J384" s="122" t="e">
        <f>MROUND(SUM(#REF!,#REF!,#REF!,#REF!,#REF!,#REF!,#REF!,#REF!),0.25)</f>
        <v>#REF!</v>
      </c>
      <c r="K384" t="s">
        <v>284</v>
      </c>
    </row>
    <row r="385" spans="1:11" hidden="1" x14ac:dyDescent="0.3">
      <c r="A385" s="27"/>
      <c r="B385" s="27"/>
      <c r="C385" s="182"/>
      <c r="D385" s="182"/>
      <c r="E385" s="63"/>
      <c r="F385" s="38"/>
      <c r="G385" s="61" cm="1">
        <f t="array" ref="G385">SUM(IFERROR(G383:G384,0))</f>
        <v>0</v>
      </c>
    </row>
    <row r="386" spans="1:11" ht="15" hidden="1" thickBot="1" x14ac:dyDescent="0.35">
      <c r="A386" s="273" t="str">
        <f>"Site Address: " &amp; 'PROJECT SUMMARY (Old)'!C91 &amp; " - " &amp; 'PROJECT SUMMARY (Old)'!D91</f>
        <v xml:space="preserve">Site Address:  - </v>
      </c>
      <c r="B386" s="273"/>
      <c r="C386" s="273"/>
      <c r="D386" s="273"/>
      <c r="E386" s="273"/>
      <c r="F386" s="273"/>
      <c r="G386" s="273"/>
      <c r="K386" s="86"/>
    </row>
    <row r="387" spans="1:11" hidden="1" x14ac:dyDescent="0.3">
      <c r="A387" s="40" t="s">
        <v>22</v>
      </c>
      <c r="B387" s="41"/>
      <c r="C387" s="11" t="s">
        <v>16</v>
      </c>
      <c r="D387" s="11" t="s">
        <v>4</v>
      </c>
      <c r="E387" s="11" t="s">
        <v>17</v>
      </c>
      <c r="F387" s="11" t="s">
        <v>6</v>
      </c>
      <c r="G387" s="12" t="s">
        <v>7</v>
      </c>
    </row>
    <row r="388" spans="1:11" hidden="1" x14ac:dyDescent="0.3">
      <c r="A388" s="26" t="s">
        <v>279</v>
      </c>
      <c r="B388" s="27"/>
      <c r="C388" s="42">
        <v>1</v>
      </c>
      <c r="D388" s="42">
        <v>1</v>
      </c>
      <c r="E388" s="64">
        <v>0</v>
      </c>
      <c r="F388" s="44" cm="1">
        <f t="array" ref="F388">_xlfn.XLOOKUP($J$2&amp;$J$4&amp;$J$5,LISTS!$D$14:$D$28&amp;LISTS!$C$14:$C$28&amp;LISTS!$B$14:$B$28,LISTS!$E$14:$E$28)</f>
        <v>340</v>
      </c>
      <c r="G388" s="32">
        <f>+C388*D388*E388*F388</f>
        <v>0</v>
      </c>
      <c r="J388" s="122" t="e">
        <f>MROUND(SUM(#REF!,#REF!,#REF!,#REF!,#REF!),0.25)</f>
        <v>#REF!</v>
      </c>
      <c r="K388" t="s">
        <v>283</v>
      </c>
    </row>
    <row r="389" spans="1:11" ht="15" hidden="1" thickBot="1" x14ac:dyDescent="0.35">
      <c r="A389" s="14" t="s">
        <v>280</v>
      </c>
      <c r="B389" s="15"/>
      <c r="C389" s="58">
        <v>1</v>
      </c>
      <c r="D389" s="58">
        <v>1</v>
      </c>
      <c r="E389" s="65">
        <v>0</v>
      </c>
      <c r="F389" s="59">
        <f>IF(J352="Fire - Liberty Mutual/State Auto",100,_xlfn.XLOOKUP($J$4,LISTS!$B$32:$B$33,LISTS!$C$32:$C$33))</f>
        <v>185</v>
      </c>
      <c r="G389" s="60">
        <f>+C389*D389*E389*F389</f>
        <v>0</v>
      </c>
      <c r="J389" s="122" t="e">
        <f>MROUND(SUM(#REF!,#REF!,#REF!,#REF!,#REF!,#REF!,#REF!,#REF!),0.25)</f>
        <v>#REF!</v>
      </c>
      <c r="K389" t="s">
        <v>284</v>
      </c>
    </row>
    <row r="390" spans="1:11" hidden="1" x14ac:dyDescent="0.3">
      <c r="A390" s="27"/>
      <c r="B390" s="27"/>
      <c r="C390" s="182"/>
      <c r="D390" s="182"/>
      <c r="E390" s="63"/>
      <c r="F390" s="38"/>
      <c r="G390" s="61" cm="1">
        <f t="array" ref="G390">SUM(IFERROR(G388:G389,0))</f>
        <v>0</v>
      </c>
    </row>
    <row r="391" spans="1:11" ht="15" hidden="1" thickBot="1" x14ac:dyDescent="0.35">
      <c r="A391" s="273" t="str">
        <f>"Site Address: " &amp; 'PROJECT SUMMARY (Old)'!C92 &amp; " - " &amp; 'PROJECT SUMMARY (Old)'!D92</f>
        <v xml:space="preserve">Site Address:  - </v>
      </c>
      <c r="B391" s="273"/>
      <c r="C391" s="273"/>
      <c r="D391" s="273"/>
      <c r="E391" s="273"/>
      <c r="F391" s="273"/>
      <c r="G391" s="273"/>
      <c r="K391" s="86"/>
    </row>
    <row r="392" spans="1:11" hidden="1" x14ac:dyDescent="0.3">
      <c r="A392" s="40" t="s">
        <v>22</v>
      </c>
      <c r="B392" s="41"/>
      <c r="C392" s="11" t="s">
        <v>16</v>
      </c>
      <c r="D392" s="11" t="s">
        <v>4</v>
      </c>
      <c r="E392" s="11" t="s">
        <v>17</v>
      </c>
      <c r="F392" s="11" t="s">
        <v>6</v>
      </c>
      <c r="G392" s="12" t="s">
        <v>7</v>
      </c>
    </row>
    <row r="393" spans="1:11" hidden="1" x14ac:dyDescent="0.3">
      <c r="A393" s="26" t="s">
        <v>279</v>
      </c>
      <c r="B393" s="27"/>
      <c r="C393" s="42">
        <v>1</v>
      </c>
      <c r="D393" s="42">
        <v>1</v>
      </c>
      <c r="E393" s="64">
        <v>0</v>
      </c>
      <c r="F393" s="44" cm="1">
        <f t="array" ref="F393">_xlfn.XLOOKUP($J$2&amp;$J$4&amp;$J$5,LISTS!$D$14:$D$28&amp;LISTS!$C$14:$C$28&amp;LISTS!$B$14:$B$28,LISTS!$E$14:$E$28)</f>
        <v>340</v>
      </c>
      <c r="G393" s="32">
        <f>+C393*D393*E393*F393</f>
        <v>0</v>
      </c>
      <c r="J393" s="122" t="e">
        <f>MROUND(SUM(#REF!,#REF!,#REF!,#REF!,#REF!),0.25)</f>
        <v>#REF!</v>
      </c>
      <c r="K393" t="s">
        <v>283</v>
      </c>
    </row>
    <row r="394" spans="1:11" ht="15" hidden="1" thickBot="1" x14ac:dyDescent="0.35">
      <c r="A394" s="14" t="s">
        <v>280</v>
      </c>
      <c r="B394" s="15"/>
      <c r="C394" s="58">
        <v>1</v>
      </c>
      <c r="D394" s="58">
        <v>1</v>
      </c>
      <c r="E394" s="65">
        <v>0</v>
      </c>
      <c r="F394" s="59">
        <f>IF(J357="Fire - Liberty Mutual/State Auto",100,_xlfn.XLOOKUP($J$4,LISTS!$B$32:$B$33,LISTS!$C$32:$C$33))</f>
        <v>185</v>
      </c>
      <c r="G394" s="60">
        <f>+C394*D394*E394*F394</f>
        <v>0</v>
      </c>
      <c r="J394" s="122" t="e">
        <f>MROUND(SUM(#REF!,#REF!,#REF!,#REF!,#REF!,#REF!,#REF!,#REF!),0.25)</f>
        <v>#REF!</v>
      </c>
      <c r="K394" t="s">
        <v>284</v>
      </c>
    </row>
    <row r="395" spans="1:11" hidden="1" x14ac:dyDescent="0.3">
      <c r="A395" s="27"/>
      <c r="B395" s="27"/>
      <c r="C395" s="182"/>
      <c r="D395" s="182"/>
      <c r="E395" s="63"/>
      <c r="F395" s="38"/>
      <c r="G395" s="61" cm="1">
        <f t="array" ref="G395">SUM(IFERROR(G393:G394,0))</f>
        <v>0</v>
      </c>
    </row>
    <row r="396" spans="1:11" ht="15" hidden="1" thickBot="1" x14ac:dyDescent="0.35">
      <c r="A396" s="273" t="str">
        <f>"Site Address: " &amp; 'PROJECT SUMMARY (Old)'!C93 &amp; " - " &amp; 'PROJECT SUMMARY (Old)'!D93</f>
        <v xml:space="preserve">Site Address:  - </v>
      </c>
      <c r="B396" s="273"/>
      <c r="C396" s="273"/>
      <c r="D396" s="273"/>
      <c r="E396" s="273"/>
      <c r="F396" s="273"/>
      <c r="G396" s="273"/>
      <c r="K396" s="86"/>
    </row>
    <row r="397" spans="1:11" hidden="1" x14ac:dyDescent="0.3">
      <c r="A397" s="40" t="s">
        <v>22</v>
      </c>
      <c r="B397" s="41"/>
      <c r="C397" s="11" t="s">
        <v>16</v>
      </c>
      <c r="D397" s="11" t="s">
        <v>4</v>
      </c>
      <c r="E397" s="11" t="s">
        <v>17</v>
      </c>
      <c r="F397" s="11" t="s">
        <v>6</v>
      </c>
      <c r="G397" s="12" t="s">
        <v>7</v>
      </c>
    </row>
    <row r="398" spans="1:11" hidden="1" x14ac:dyDescent="0.3">
      <c r="A398" s="26" t="s">
        <v>279</v>
      </c>
      <c r="B398" s="27"/>
      <c r="C398" s="42">
        <v>1</v>
      </c>
      <c r="D398" s="42">
        <v>1</v>
      </c>
      <c r="E398" s="64">
        <v>0</v>
      </c>
      <c r="F398" s="44" cm="1">
        <f t="array" ref="F398">_xlfn.XLOOKUP($J$2&amp;$J$4&amp;$J$5,LISTS!$D$14:$D$28&amp;LISTS!$C$14:$C$28&amp;LISTS!$B$14:$B$28,LISTS!$E$14:$E$28)</f>
        <v>340</v>
      </c>
      <c r="G398" s="32">
        <f>+C398*D398*E398*F398</f>
        <v>0</v>
      </c>
      <c r="J398" s="122" t="e">
        <f>MROUND(SUM(#REF!,#REF!,#REF!,#REF!,#REF!),0.25)</f>
        <v>#REF!</v>
      </c>
      <c r="K398" t="s">
        <v>283</v>
      </c>
    </row>
    <row r="399" spans="1:11" ht="15" hidden="1" thickBot="1" x14ac:dyDescent="0.35">
      <c r="A399" s="14" t="s">
        <v>280</v>
      </c>
      <c r="B399" s="15"/>
      <c r="C399" s="58">
        <v>1</v>
      </c>
      <c r="D399" s="58">
        <v>1</v>
      </c>
      <c r="E399" s="65">
        <v>0</v>
      </c>
      <c r="F399" s="59">
        <f>IF(J362="Fire - Liberty Mutual/State Auto",100,_xlfn.XLOOKUP($J$4,LISTS!$B$32:$B$33,LISTS!$C$32:$C$33))</f>
        <v>185</v>
      </c>
      <c r="G399" s="60">
        <f>+C399*D399*E399*F399</f>
        <v>0</v>
      </c>
      <c r="J399" s="122" t="e">
        <f>MROUND(SUM(#REF!,#REF!,#REF!,#REF!,#REF!,#REF!,#REF!,#REF!),0.25)</f>
        <v>#REF!</v>
      </c>
      <c r="K399" t="s">
        <v>284</v>
      </c>
    </row>
    <row r="400" spans="1:11" hidden="1" x14ac:dyDescent="0.3">
      <c r="A400" s="27"/>
      <c r="B400" s="27"/>
      <c r="C400" s="182"/>
      <c r="D400" s="182"/>
      <c r="E400" s="63"/>
      <c r="F400" s="38"/>
      <c r="G400" s="61" cm="1">
        <f t="array" ref="G400">SUM(IFERROR(G398:G399,0))</f>
        <v>0</v>
      </c>
    </row>
    <row r="401" spans="1:11" ht="15" hidden="1" thickBot="1" x14ac:dyDescent="0.35">
      <c r="A401" s="273" t="str">
        <f>"Site Address: " &amp; 'PROJECT SUMMARY (Old)'!C94 &amp; " - " &amp; 'PROJECT SUMMARY (Old)'!D94</f>
        <v xml:space="preserve">Site Address:  - </v>
      </c>
      <c r="B401" s="273"/>
      <c r="C401" s="273"/>
      <c r="D401" s="273"/>
      <c r="E401" s="273"/>
      <c r="F401" s="273"/>
      <c r="G401" s="273"/>
      <c r="K401" s="86"/>
    </row>
    <row r="402" spans="1:11" hidden="1" x14ac:dyDescent="0.3">
      <c r="A402" s="40" t="s">
        <v>22</v>
      </c>
      <c r="B402" s="41"/>
      <c r="C402" s="11" t="s">
        <v>16</v>
      </c>
      <c r="D402" s="11" t="s">
        <v>4</v>
      </c>
      <c r="E402" s="11" t="s">
        <v>17</v>
      </c>
      <c r="F402" s="11" t="s">
        <v>6</v>
      </c>
      <c r="G402" s="12" t="s">
        <v>7</v>
      </c>
    </row>
    <row r="403" spans="1:11" hidden="1" x14ac:dyDescent="0.3">
      <c r="A403" s="26" t="s">
        <v>279</v>
      </c>
      <c r="B403" s="27"/>
      <c r="C403" s="42">
        <v>1</v>
      </c>
      <c r="D403" s="42">
        <v>1</v>
      </c>
      <c r="E403" s="64">
        <v>0</v>
      </c>
      <c r="F403" s="44" cm="1">
        <f t="array" ref="F403">_xlfn.XLOOKUP($J$2&amp;$J$4&amp;$J$5,LISTS!$D$14:$D$28&amp;LISTS!$C$14:$C$28&amp;LISTS!$B$14:$B$28,LISTS!$E$14:$E$28)</f>
        <v>340</v>
      </c>
      <c r="G403" s="32">
        <f>+C403*D403*E403*F403</f>
        <v>0</v>
      </c>
      <c r="J403" s="122" t="e">
        <f>MROUND(SUM(#REF!,#REF!,#REF!,#REF!,#REF!),0.25)</f>
        <v>#REF!</v>
      </c>
      <c r="K403" t="s">
        <v>283</v>
      </c>
    </row>
    <row r="404" spans="1:11" ht="15" hidden="1" thickBot="1" x14ac:dyDescent="0.35">
      <c r="A404" s="14" t="s">
        <v>280</v>
      </c>
      <c r="B404" s="15"/>
      <c r="C404" s="58">
        <v>1</v>
      </c>
      <c r="D404" s="58">
        <v>1</v>
      </c>
      <c r="E404" s="65">
        <v>0</v>
      </c>
      <c r="F404" s="59">
        <f>IF(J367="Fire - Liberty Mutual/State Auto",100,_xlfn.XLOOKUP($J$4,LISTS!$B$32:$B$33,LISTS!$C$32:$C$33))</f>
        <v>185</v>
      </c>
      <c r="G404" s="60">
        <f>+C404*D404*E404*F404</f>
        <v>0</v>
      </c>
      <c r="J404" s="122" t="e">
        <f>MROUND(SUM(#REF!,#REF!,#REF!,#REF!,#REF!,#REF!,#REF!,#REF!),0.25)</f>
        <v>#REF!</v>
      </c>
      <c r="K404" t="s">
        <v>284</v>
      </c>
    </row>
    <row r="405" spans="1:11" hidden="1" x14ac:dyDescent="0.3">
      <c r="A405" s="27"/>
      <c r="B405" s="27"/>
      <c r="C405" s="182"/>
      <c r="D405" s="182"/>
      <c r="E405" s="63"/>
      <c r="F405" s="38"/>
      <c r="G405" s="61" cm="1">
        <f t="array" ref="G405">SUM(IFERROR(G403:G404,0))</f>
        <v>0</v>
      </c>
    </row>
    <row r="406" spans="1:11" ht="15" hidden="1" thickBot="1" x14ac:dyDescent="0.35">
      <c r="A406" s="273" t="str">
        <f>"Site Address: " &amp; 'PROJECT SUMMARY (Old)'!C95 &amp; " - " &amp; 'PROJECT SUMMARY (Old)'!D95</f>
        <v xml:space="preserve">Site Address:  - </v>
      </c>
      <c r="B406" s="273"/>
      <c r="C406" s="273"/>
      <c r="D406" s="273"/>
      <c r="E406" s="273"/>
      <c r="F406" s="273"/>
      <c r="G406" s="273"/>
      <c r="K406" s="86"/>
    </row>
    <row r="407" spans="1:11" hidden="1" x14ac:dyDescent="0.3">
      <c r="A407" s="40" t="s">
        <v>22</v>
      </c>
      <c r="B407" s="41"/>
      <c r="C407" s="11" t="s">
        <v>16</v>
      </c>
      <c r="D407" s="11" t="s">
        <v>4</v>
      </c>
      <c r="E407" s="11" t="s">
        <v>17</v>
      </c>
      <c r="F407" s="11" t="s">
        <v>6</v>
      </c>
      <c r="G407" s="12" t="s">
        <v>7</v>
      </c>
    </row>
    <row r="408" spans="1:11" hidden="1" x14ac:dyDescent="0.3">
      <c r="A408" s="26" t="s">
        <v>279</v>
      </c>
      <c r="B408" s="27"/>
      <c r="C408" s="42">
        <v>1</v>
      </c>
      <c r="D408" s="42">
        <v>1</v>
      </c>
      <c r="E408" s="64">
        <v>0</v>
      </c>
      <c r="F408" s="44" cm="1">
        <f t="array" ref="F408">_xlfn.XLOOKUP($J$2&amp;$J$4&amp;$J$5,LISTS!$D$14:$D$28&amp;LISTS!$C$14:$C$28&amp;LISTS!$B$14:$B$28,LISTS!$E$14:$E$28)</f>
        <v>340</v>
      </c>
      <c r="G408" s="32">
        <f>+C408*D408*E408*F408</f>
        <v>0</v>
      </c>
      <c r="J408" s="122" t="e">
        <f>MROUND(SUM(#REF!,#REF!,#REF!,#REF!,#REF!),0.25)</f>
        <v>#REF!</v>
      </c>
      <c r="K408" t="s">
        <v>283</v>
      </c>
    </row>
    <row r="409" spans="1:11" ht="15" hidden="1" thickBot="1" x14ac:dyDescent="0.35">
      <c r="A409" s="14" t="s">
        <v>280</v>
      </c>
      <c r="B409" s="15"/>
      <c r="C409" s="58">
        <v>1</v>
      </c>
      <c r="D409" s="58">
        <v>1</v>
      </c>
      <c r="E409" s="65">
        <v>0</v>
      </c>
      <c r="F409" s="59">
        <f>IF(J372="Fire - Liberty Mutual/State Auto",100,_xlfn.XLOOKUP($J$4,LISTS!$B$32:$B$33,LISTS!$C$32:$C$33))</f>
        <v>185</v>
      </c>
      <c r="G409" s="60">
        <f>+C409*D409*E409*F409</f>
        <v>0</v>
      </c>
      <c r="J409" s="122" t="e">
        <f>MROUND(SUM(#REF!,#REF!,#REF!,#REF!,#REF!,#REF!,#REF!,#REF!),0.25)</f>
        <v>#REF!</v>
      </c>
      <c r="K409" t="s">
        <v>284</v>
      </c>
    </row>
    <row r="410" spans="1:11" hidden="1" x14ac:dyDescent="0.3">
      <c r="A410" s="27"/>
      <c r="B410" s="27"/>
      <c r="C410" s="182"/>
      <c r="D410" s="182"/>
      <c r="E410" s="63"/>
      <c r="F410" s="38"/>
      <c r="G410" s="61" cm="1">
        <f t="array" ref="G410">SUM(IFERROR(G408:G409,0))</f>
        <v>0</v>
      </c>
    </row>
    <row r="411" spans="1:11" ht="15" hidden="1" thickBot="1" x14ac:dyDescent="0.35">
      <c r="A411" s="273" t="str">
        <f>"Site Address: " &amp; 'PROJECT SUMMARY (Old)'!C96 &amp; " - " &amp; 'PROJECT SUMMARY (Old)'!D96</f>
        <v xml:space="preserve">Site Address:  - </v>
      </c>
      <c r="B411" s="273"/>
      <c r="C411" s="273"/>
      <c r="D411" s="273"/>
      <c r="E411" s="273"/>
      <c r="F411" s="273"/>
      <c r="G411" s="273"/>
      <c r="K411" s="86"/>
    </row>
    <row r="412" spans="1:11" hidden="1" x14ac:dyDescent="0.3">
      <c r="A412" s="40" t="s">
        <v>22</v>
      </c>
      <c r="B412" s="41"/>
      <c r="C412" s="11" t="s">
        <v>16</v>
      </c>
      <c r="D412" s="11" t="s">
        <v>4</v>
      </c>
      <c r="E412" s="11" t="s">
        <v>17</v>
      </c>
      <c r="F412" s="11" t="s">
        <v>6</v>
      </c>
      <c r="G412" s="12" t="s">
        <v>7</v>
      </c>
    </row>
    <row r="413" spans="1:11" hidden="1" x14ac:dyDescent="0.3">
      <c r="A413" s="26" t="s">
        <v>279</v>
      </c>
      <c r="B413" s="27"/>
      <c r="C413" s="42">
        <v>1</v>
      </c>
      <c r="D413" s="42">
        <v>1</v>
      </c>
      <c r="E413" s="64">
        <v>0</v>
      </c>
      <c r="F413" s="44" cm="1">
        <f t="array" ref="F413">_xlfn.XLOOKUP($J$2&amp;$J$4&amp;$J$5,LISTS!$D$14:$D$28&amp;LISTS!$C$14:$C$28&amp;LISTS!$B$14:$B$28,LISTS!$E$14:$E$28)</f>
        <v>340</v>
      </c>
      <c r="G413" s="32">
        <f>+C413*D413*E413*F413</f>
        <v>0</v>
      </c>
      <c r="J413" s="122" t="e">
        <f>MROUND(SUM(#REF!,#REF!,#REF!,#REF!,#REF!),0.25)</f>
        <v>#REF!</v>
      </c>
      <c r="K413" t="s">
        <v>283</v>
      </c>
    </row>
    <row r="414" spans="1:11" ht="15" hidden="1" thickBot="1" x14ac:dyDescent="0.35">
      <c r="A414" s="14" t="s">
        <v>280</v>
      </c>
      <c r="B414" s="15"/>
      <c r="C414" s="58">
        <v>1</v>
      </c>
      <c r="D414" s="58">
        <v>1</v>
      </c>
      <c r="E414" s="65">
        <v>0</v>
      </c>
      <c r="F414" s="59">
        <f>IF(J377="Fire - Liberty Mutual/State Auto",100,_xlfn.XLOOKUP($J$4,LISTS!$B$32:$B$33,LISTS!$C$32:$C$33))</f>
        <v>185</v>
      </c>
      <c r="G414" s="60">
        <f>+C414*D414*E414*F414</f>
        <v>0</v>
      </c>
      <c r="J414" s="122" t="e">
        <f>MROUND(SUM(#REF!,#REF!,#REF!,#REF!,#REF!,#REF!,#REF!,#REF!),0.25)</f>
        <v>#REF!</v>
      </c>
      <c r="K414" t="s">
        <v>284</v>
      </c>
    </row>
    <row r="415" spans="1:11" hidden="1" x14ac:dyDescent="0.3">
      <c r="A415" s="27"/>
      <c r="B415" s="27"/>
      <c r="C415" s="182"/>
      <c r="D415" s="182"/>
      <c r="E415" s="63"/>
      <c r="F415" s="38"/>
      <c r="G415" s="61" cm="1">
        <f t="array" ref="G415">SUM(IFERROR(G413:G414,0))</f>
        <v>0</v>
      </c>
    </row>
    <row r="416" spans="1:11" ht="15" hidden="1" thickBot="1" x14ac:dyDescent="0.35">
      <c r="A416" s="273" t="str">
        <f>"Site Address: " &amp; 'PROJECT SUMMARY (Old)'!C97 &amp; " - " &amp; 'PROJECT SUMMARY (Old)'!D97</f>
        <v xml:space="preserve">Site Address:  - </v>
      </c>
      <c r="B416" s="273"/>
      <c r="C416" s="273"/>
      <c r="D416" s="273"/>
      <c r="E416" s="273"/>
      <c r="F416" s="273"/>
      <c r="G416" s="273"/>
      <c r="K416" s="86"/>
    </row>
    <row r="417" spans="1:11" hidden="1" x14ac:dyDescent="0.3">
      <c r="A417" s="40" t="s">
        <v>22</v>
      </c>
      <c r="B417" s="41"/>
      <c r="C417" s="11" t="s">
        <v>16</v>
      </c>
      <c r="D417" s="11" t="s">
        <v>4</v>
      </c>
      <c r="E417" s="11" t="s">
        <v>17</v>
      </c>
      <c r="F417" s="11" t="s">
        <v>6</v>
      </c>
      <c r="G417" s="12" t="s">
        <v>7</v>
      </c>
    </row>
    <row r="418" spans="1:11" hidden="1" x14ac:dyDescent="0.3">
      <c r="A418" s="26" t="s">
        <v>279</v>
      </c>
      <c r="B418" s="27"/>
      <c r="C418" s="42">
        <v>1</v>
      </c>
      <c r="D418" s="42">
        <v>1</v>
      </c>
      <c r="E418" s="64">
        <v>0</v>
      </c>
      <c r="F418" s="44" cm="1">
        <f t="array" ref="F418">_xlfn.XLOOKUP($J$2&amp;$J$4&amp;$J$5,LISTS!$D$14:$D$28&amp;LISTS!$C$14:$C$28&amp;LISTS!$B$14:$B$28,LISTS!$E$14:$E$28)</f>
        <v>340</v>
      </c>
      <c r="G418" s="32">
        <f>+C418*D418*E418*F418</f>
        <v>0</v>
      </c>
      <c r="J418" s="122" t="e">
        <f>MROUND(SUM(#REF!,#REF!,#REF!,#REF!,#REF!),0.25)</f>
        <v>#REF!</v>
      </c>
      <c r="K418" t="s">
        <v>283</v>
      </c>
    </row>
    <row r="419" spans="1:11" ht="15" hidden="1" thickBot="1" x14ac:dyDescent="0.35">
      <c r="A419" s="14" t="s">
        <v>280</v>
      </c>
      <c r="B419" s="15"/>
      <c r="C419" s="58">
        <v>1</v>
      </c>
      <c r="D419" s="58">
        <v>1</v>
      </c>
      <c r="E419" s="65">
        <v>0</v>
      </c>
      <c r="F419" s="59">
        <f>IF(J382="Fire - Liberty Mutual/State Auto",100,_xlfn.XLOOKUP($J$4,LISTS!$B$32:$B$33,LISTS!$C$32:$C$33))</f>
        <v>185</v>
      </c>
      <c r="G419" s="60">
        <f>+C419*D419*E419*F419</f>
        <v>0</v>
      </c>
      <c r="J419" s="122" t="e">
        <f>MROUND(SUM(#REF!,#REF!,#REF!,#REF!,#REF!,#REF!,#REF!,#REF!),0.25)</f>
        <v>#REF!</v>
      </c>
      <c r="K419" t="s">
        <v>284</v>
      </c>
    </row>
    <row r="420" spans="1:11" hidden="1" x14ac:dyDescent="0.3">
      <c r="A420" s="27"/>
      <c r="B420" s="27"/>
      <c r="C420" s="182"/>
      <c r="D420" s="182"/>
      <c r="E420" s="63"/>
      <c r="F420" s="38"/>
      <c r="G420" s="61" cm="1">
        <f t="array" ref="G420">SUM(IFERROR(G418:G419,0))</f>
        <v>0</v>
      </c>
    </row>
    <row r="421" spans="1:11" ht="15" hidden="1" thickBot="1" x14ac:dyDescent="0.35">
      <c r="A421" s="273" t="str">
        <f>"Site Address: " &amp; 'PROJECT SUMMARY (Old)'!C98 &amp; " - " &amp; 'PROJECT SUMMARY (Old)'!D98</f>
        <v xml:space="preserve">Site Address:  - </v>
      </c>
      <c r="B421" s="273"/>
      <c r="C421" s="273"/>
      <c r="D421" s="273"/>
      <c r="E421" s="273"/>
      <c r="F421" s="273"/>
      <c r="G421" s="273"/>
      <c r="K421" s="86"/>
    </row>
    <row r="422" spans="1:11" hidden="1" x14ac:dyDescent="0.3">
      <c r="A422" s="40" t="s">
        <v>22</v>
      </c>
      <c r="B422" s="41"/>
      <c r="C422" s="11" t="s">
        <v>16</v>
      </c>
      <c r="D422" s="11" t="s">
        <v>4</v>
      </c>
      <c r="E422" s="11" t="s">
        <v>17</v>
      </c>
      <c r="F422" s="11" t="s">
        <v>6</v>
      </c>
      <c r="G422" s="12" t="s">
        <v>7</v>
      </c>
    </row>
    <row r="423" spans="1:11" hidden="1" x14ac:dyDescent="0.3">
      <c r="A423" s="26" t="s">
        <v>279</v>
      </c>
      <c r="B423" s="27"/>
      <c r="C423" s="42">
        <v>1</v>
      </c>
      <c r="D423" s="42">
        <v>1</v>
      </c>
      <c r="E423" s="64">
        <v>0</v>
      </c>
      <c r="F423" s="44" cm="1">
        <f t="array" ref="F423">_xlfn.XLOOKUP($J$2&amp;$J$4&amp;$J$5,LISTS!$D$14:$D$28&amp;LISTS!$C$14:$C$28&amp;LISTS!$B$14:$B$28,LISTS!$E$14:$E$28)</f>
        <v>340</v>
      </c>
      <c r="G423" s="32">
        <f>+C423*D423*E423*F423</f>
        <v>0</v>
      </c>
      <c r="J423" s="122" t="e">
        <f>MROUND(SUM(#REF!,#REF!,#REF!,#REF!,#REF!),0.25)</f>
        <v>#REF!</v>
      </c>
      <c r="K423" t="s">
        <v>283</v>
      </c>
    </row>
    <row r="424" spans="1:11" ht="15" hidden="1" thickBot="1" x14ac:dyDescent="0.35">
      <c r="A424" s="14" t="s">
        <v>280</v>
      </c>
      <c r="B424" s="15"/>
      <c r="C424" s="58">
        <v>1</v>
      </c>
      <c r="D424" s="58">
        <v>1</v>
      </c>
      <c r="E424" s="65">
        <v>0</v>
      </c>
      <c r="F424" s="59">
        <f>IF(J387="Fire - Liberty Mutual/State Auto",100,_xlfn.XLOOKUP($J$4,LISTS!$B$32:$B$33,LISTS!$C$32:$C$33))</f>
        <v>185</v>
      </c>
      <c r="G424" s="60">
        <f>+C424*D424*E424*F424</f>
        <v>0</v>
      </c>
      <c r="J424" s="122" t="e">
        <f>MROUND(SUM(#REF!,#REF!,#REF!,#REF!,#REF!,#REF!,#REF!,#REF!),0.25)</f>
        <v>#REF!</v>
      </c>
      <c r="K424" t="s">
        <v>284</v>
      </c>
    </row>
    <row r="425" spans="1:11" hidden="1" x14ac:dyDescent="0.3">
      <c r="A425" s="27"/>
      <c r="B425" s="27"/>
      <c r="C425" s="182"/>
      <c r="D425" s="182"/>
      <c r="E425" s="63"/>
      <c r="F425" s="38"/>
      <c r="G425" s="61" cm="1">
        <f t="array" ref="G425">SUM(IFERROR(G423:G424,0))</f>
        <v>0</v>
      </c>
    </row>
    <row r="426" spans="1:11" ht="15" hidden="1" thickBot="1" x14ac:dyDescent="0.35">
      <c r="A426" s="273" t="str">
        <f>"Site Address: " &amp; 'PROJECT SUMMARY (Old)'!C99 &amp; " - " &amp; 'PROJECT SUMMARY (Old)'!D99</f>
        <v xml:space="preserve">Site Address:  - </v>
      </c>
      <c r="B426" s="273"/>
      <c r="C426" s="273"/>
      <c r="D426" s="273"/>
      <c r="E426" s="273"/>
      <c r="F426" s="273"/>
      <c r="G426" s="273"/>
      <c r="K426" s="86"/>
    </row>
    <row r="427" spans="1:11" hidden="1" x14ac:dyDescent="0.3">
      <c r="A427" s="40" t="s">
        <v>22</v>
      </c>
      <c r="B427" s="41"/>
      <c r="C427" s="11" t="s">
        <v>16</v>
      </c>
      <c r="D427" s="11" t="s">
        <v>4</v>
      </c>
      <c r="E427" s="11" t="s">
        <v>17</v>
      </c>
      <c r="F427" s="11" t="s">
        <v>6</v>
      </c>
      <c r="G427" s="12" t="s">
        <v>7</v>
      </c>
    </row>
    <row r="428" spans="1:11" hidden="1" x14ac:dyDescent="0.3">
      <c r="A428" s="26" t="s">
        <v>279</v>
      </c>
      <c r="B428" s="27"/>
      <c r="C428" s="42">
        <v>1</v>
      </c>
      <c r="D428" s="42">
        <v>1</v>
      </c>
      <c r="E428" s="64">
        <v>0</v>
      </c>
      <c r="F428" s="44" cm="1">
        <f t="array" ref="F428">_xlfn.XLOOKUP($J$2&amp;$J$4&amp;$J$5,LISTS!$D$14:$D$28&amp;LISTS!$C$14:$C$28&amp;LISTS!$B$14:$B$28,LISTS!$E$14:$E$28)</f>
        <v>340</v>
      </c>
      <c r="G428" s="32">
        <f>+C428*D428*E428*F428</f>
        <v>0</v>
      </c>
      <c r="J428" s="122" t="e">
        <f>MROUND(SUM(#REF!,#REF!,#REF!,#REF!,#REF!),0.25)</f>
        <v>#REF!</v>
      </c>
      <c r="K428" t="s">
        <v>283</v>
      </c>
    </row>
    <row r="429" spans="1:11" ht="15" hidden="1" thickBot="1" x14ac:dyDescent="0.35">
      <c r="A429" s="14" t="s">
        <v>280</v>
      </c>
      <c r="B429" s="15"/>
      <c r="C429" s="58">
        <v>1</v>
      </c>
      <c r="D429" s="58">
        <v>1</v>
      </c>
      <c r="E429" s="65">
        <v>0</v>
      </c>
      <c r="F429" s="59">
        <f>IF(J392="Fire - Liberty Mutual/State Auto",100,_xlfn.XLOOKUP($J$4,LISTS!$B$32:$B$33,LISTS!$C$32:$C$33))</f>
        <v>185</v>
      </c>
      <c r="G429" s="60">
        <f>+C429*D429*E429*F429</f>
        <v>0</v>
      </c>
      <c r="J429" s="122" t="e">
        <f>MROUND(SUM(#REF!,#REF!,#REF!,#REF!,#REF!,#REF!,#REF!,#REF!),0.25)</f>
        <v>#REF!</v>
      </c>
      <c r="K429" t="s">
        <v>284</v>
      </c>
    </row>
    <row r="430" spans="1:11" hidden="1" x14ac:dyDescent="0.3">
      <c r="A430" s="27"/>
      <c r="B430" s="27"/>
      <c r="C430" s="182"/>
      <c r="D430" s="182"/>
      <c r="E430" s="63"/>
      <c r="F430" s="38"/>
      <c r="G430" s="61" cm="1">
        <f t="array" ref="G430">SUM(IFERROR(G428:G429,0))</f>
        <v>0</v>
      </c>
    </row>
    <row r="431" spans="1:11" ht="15" hidden="1" thickBot="1" x14ac:dyDescent="0.35">
      <c r="A431" s="273" t="str">
        <f>"Site Address: " &amp; 'PROJECT SUMMARY (Old)'!C100 &amp; " - " &amp; 'PROJECT SUMMARY (Old)'!D100</f>
        <v xml:space="preserve">Site Address:  - </v>
      </c>
      <c r="B431" s="273"/>
      <c r="C431" s="273"/>
      <c r="D431" s="273"/>
      <c r="E431" s="273"/>
      <c r="F431" s="273"/>
      <c r="G431" s="273"/>
      <c r="K431" s="86"/>
    </row>
    <row r="432" spans="1:11" hidden="1" x14ac:dyDescent="0.3">
      <c r="A432" s="40" t="s">
        <v>22</v>
      </c>
      <c r="B432" s="41"/>
      <c r="C432" s="11" t="s">
        <v>16</v>
      </c>
      <c r="D432" s="11" t="s">
        <v>4</v>
      </c>
      <c r="E432" s="11" t="s">
        <v>17</v>
      </c>
      <c r="F432" s="11" t="s">
        <v>6</v>
      </c>
      <c r="G432" s="12" t="s">
        <v>7</v>
      </c>
    </row>
    <row r="433" spans="1:11" hidden="1" x14ac:dyDescent="0.3">
      <c r="A433" s="26" t="s">
        <v>279</v>
      </c>
      <c r="B433" s="27"/>
      <c r="C433" s="42">
        <v>1</v>
      </c>
      <c r="D433" s="42">
        <v>1</v>
      </c>
      <c r="E433" s="64">
        <v>0</v>
      </c>
      <c r="F433" s="44" cm="1">
        <f t="array" ref="F433">_xlfn.XLOOKUP($J$2&amp;$J$4&amp;$J$5,LISTS!$D$14:$D$28&amp;LISTS!$C$14:$C$28&amp;LISTS!$B$14:$B$28,LISTS!$E$14:$E$28)</f>
        <v>340</v>
      </c>
      <c r="G433" s="32">
        <f>+C433*D433*E433*F433</f>
        <v>0</v>
      </c>
      <c r="J433" s="122" t="e">
        <f>MROUND(SUM(#REF!,#REF!,#REF!,#REF!,#REF!),0.25)</f>
        <v>#REF!</v>
      </c>
      <c r="K433" t="s">
        <v>283</v>
      </c>
    </row>
    <row r="434" spans="1:11" ht="15" hidden="1" thickBot="1" x14ac:dyDescent="0.35">
      <c r="A434" s="14" t="s">
        <v>280</v>
      </c>
      <c r="B434" s="15"/>
      <c r="C434" s="58">
        <v>1</v>
      </c>
      <c r="D434" s="58">
        <v>1</v>
      </c>
      <c r="E434" s="65">
        <v>0</v>
      </c>
      <c r="F434" s="59">
        <f>IF(J397="Fire - Liberty Mutual/State Auto",100,_xlfn.XLOOKUP($J$4,LISTS!$B$32:$B$33,LISTS!$C$32:$C$33))</f>
        <v>185</v>
      </c>
      <c r="G434" s="60">
        <f>+C434*D434*E434*F434</f>
        <v>0</v>
      </c>
      <c r="J434" s="122" t="e">
        <f>MROUND(SUM(#REF!,#REF!,#REF!,#REF!,#REF!,#REF!,#REF!,#REF!),0.25)</f>
        <v>#REF!</v>
      </c>
      <c r="K434" t="s">
        <v>284</v>
      </c>
    </row>
    <row r="435" spans="1:11" hidden="1" x14ac:dyDescent="0.3">
      <c r="A435" s="27"/>
      <c r="B435" s="27"/>
      <c r="C435" s="182"/>
      <c r="D435" s="182"/>
      <c r="E435" s="63"/>
      <c r="F435" s="38"/>
      <c r="G435" s="61" cm="1">
        <f t="array" ref="G435">SUM(IFERROR(G433:G434,0))</f>
        <v>0</v>
      </c>
    </row>
    <row r="436" spans="1:11" ht="15" hidden="1" thickBot="1" x14ac:dyDescent="0.35">
      <c r="A436" s="273" t="str">
        <f>"Site Address: " &amp; 'PROJECT SUMMARY (Old)'!C101 &amp; " - " &amp; 'PROJECT SUMMARY (Old)'!D101</f>
        <v xml:space="preserve">Site Address:  - </v>
      </c>
      <c r="B436" s="273"/>
      <c r="C436" s="273"/>
      <c r="D436" s="273"/>
      <c r="E436" s="273"/>
      <c r="F436" s="273"/>
      <c r="G436" s="273"/>
      <c r="K436" s="86"/>
    </row>
    <row r="437" spans="1:11" hidden="1" x14ac:dyDescent="0.3">
      <c r="A437" s="40" t="s">
        <v>22</v>
      </c>
      <c r="B437" s="41"/>
      <c r="C437" s="11" t="s">
        <v>16</v>
      </c>
      <c r="D437" s="11" t="s">
        <v>4</v>
      </c>
      <c r="E437" s="11" t="s">
        <v>17</v>
      </c>
      <c r="F437" s="11" t="s">
        <v>6</v>
      </c>
      <c r="G437" s="12" t="s">
        <v>7</v>
      </c>
    </row>
    <row r="438" spans="1:11" hidden="1" x14ac:dyDescent="0.3">
      <c r="A438" s="26" t="s">
        <v>279</v>
      </c>
      <c r="B438" s="27"/>
      <c r="C438" s="42">
        <v>1</v>
      </c>
      <c r="D438" s="42">
        <v>1</v>
      </c>
      <c r="E438" s="64">
        <v>0</v>
      </c>
      <c r="F438" s="44" cm="1">
        <f t="array" ref="F438">_xlfn.XLOOKUP($J$2&amp;$J$4&amp;$J$5,LISTS!$D$14:$D$28&amp;LISTS!$C$14:$C$28&amp;LISTS!$B$14:$B$28,LISTS!$E$14:$E$28)</f>
        <v>340</v>
      </c>
      <c r="G438" s="32">
        <f>+C438*D438*E438*F438</f>
        <v>0</v>
      </c>
      <c r="J438" s="122" t="e">
        <f>MROUND(SUM(#REF!,#REF!,#REF!,#REF!,#REF!),0.25)</f>
        <v>#REF!</v>
      </c>
      <c r="K438" t="s">
        <v>283</v>
      </c>
    </row>
    <row r="439" spans="1:11" ht="15" hidden="1" thickBot="1" x14ac:dyDescent="0.35">
      <c r="A439" s="14" t="s">
        <v>280</v>
      </c>
      <c r="B439" s="15"/>
      <c r="C439" s="58">
        <v>1</v>
      </c>
      <c r="D439" s="58">
        <v>1</v>
      </c>
      <c r="E439" s="65">
        <v>0</v>
      </c>
      <c r="F439" s="59">
        <f>IF(J402="Fire - Liberty Mutual/State Auto",100,_xlfn.XLOOKUP($J$4,LISTS!$B$32:$B$33,LISTS!$C$32:$C$33))</f>
        <v>185</v>
      </c>
      <c r="G439" s="60">
        <f>+C439*D439*E439*F439</f>
        <v>0</v>
      </c>
      <c r="J439" s="122" t="e">
        <f>MROUND(SUM(#REF!,#REF!,#REF!,#REF!,#REF!,#REF!,#REF!,#REF!),0.25)</f>
        <v>#REF!</v>
      </c>
      <c r="K439" t="s">
        <v>284</v>
      </c>
    </row>
    <row r="440" spans="1:11" hidden="1" x14ac:dyDescent="0.3">
      <c r="A440" s="27"/>
      <c r="B440" s="27"/>
      <c r="C440" s="182"/>
      <c r="D440" s="182"/>
      <c r="E440" s="63"/>
      <c r="F440" s="38"/>
      <c r="G440" s="61" cm="1">
        <f t="array" ref="G440">SUM(IFERROR(G438:G439,0))</f>
        <v>0</v>
      </c>
    </row>
    <row r="441" spans="1:11" ht="15" hidden="1" thickBot="1" x14ac:dyDescent="0.35">
      <c r="A441" s="273" t="str">
        <f>"Site Address: " &amp; 'PROJECT SUMMARY (Old)'!C102 &amp; " - " &amp; 'PROJECT SUMMARY (Old)'!D102</f>
        <v xml:space="preserve">Site Address:  - </v>
      </c>
      <c r="B441" s="273"/>
      <c r="C441" s="273"/>
      <c r="D441" s="273"/>
      <c r="E441" s="273"/>
      <c r="F441" s="273"/>
      <c r="G441" s="273"/>
      <c r="K441" s="86"/>
    </row>
    <row r="442" spans="1:11" hidden="1" x14ac:dyDescent="0.3">
      <c r="A442" s="40" t="s">
        <v>22</v>
      </c>
      <c r="B442" s="41"/>
      <c r="C442" s="11" t="s">
        <v>16</v>
      </c>
      <c r="D442" s="11" t="s">
        <v>4</v>
      </c>
      <c r="E442" s="11" t="s">
        <v>17</v>
      </c>
      <c r="F442" s="11" t="s">
        <v>6</v>
      </c>
      <c r="G442" s="12" t="s">
        <v>7</v>
      </c>
    </row>
    <row r="443" spans="1:11" hidden="1" x14ac:dyDescent="0.3">
      <c r="A443" s="26" t="s">
        <v>279</v>
      </c>
      <c r="B443" s="27"/>
      <c r="C443" s="42">
        <v>1</v>
      </c>
      <c r="D443" s="42">
        <v>1</v>
      </c>
      <c r="E443" s="64">
        <v>0</v>
      </c>
      <c r="F443" s="44" cm="1">
        <f t="array" ref="F443">_xlfn.XLOOKUP($J$2&amp;$J$4&amp;$J$5,LISTS!$D$14:$D$28&amp;LISTS!$C$14:$C$28&amp;LISTS!$B$14:$B$28,LISTS!$E$14:$E$28)</f>
        <v>340</v>
      </c>
      <c r="G443" s="32">
        <f>+C443*D443*E443*F443</f>
        <v>0</v>
      </c>
      <c r="J443" s="122" t="e">
        <f>MROUND(SUM(#REF!,#REF!,#REF!,#REF!,#REF!),0.25)</f>
        <v>#REF!</v>
      </c>
      <c r="K443" t="s">
        <v>283</v>
      </c>
    </row>
    <row r="444" spans="1:11" ht="15" hidden="1" thickBot="1" x14ac:dyDescent="0.35">
      <c r="A444" s="14" t="s">
        <v>280</v>
      </c>
      <c r="B444" s="15"/>
      <c r="C444" s="58">
        <v>1</v>
      </c>
      <c r="D444" s="58">
        <v>1</v>
      </c>
      <c r="E444" s="65">
        <v>0</v>
      </c>
      <c r="F444" s="59">
        <f>IF(J407="Fire - Liberty Mutual/State Auto",100,_xlfn.XLOOKUP($J$4,LISTS!$B$32:$B$33,LISTS!$C$32:$C$33))</f>
        <v>185</v>
      </c>
      <c r="G444" s="60">
        <f>+C444*D444*E444*F444</f>
        <v>0</v>
      </c>
      <c r="J444" s="122" t="e">
        <f>MROUND(SUM(#REF!,#REF!,#REF!,#REF!,#REF!,#REF!,#REF!,#REF!),0.25)</f>
        <v>#REF!</v>
      </c>
      <c r="K444" t="s">
        <v>284</v>
      </c>
    </row>
    <row r="445" spans="1:11" hidden="1" x14ac:dyDescent="0.3">
      <c r="A445" s="27"/>
      <c r="B445" s="27"/>
      <c r="C445" s="182"/>
      <c r="D445" s="182"/>
      <c r="E445" s="63"/>
      <c r="F445" s="38"/>
      <c r="G445" s="61" cm="1">
        <f t="array" ref="G445">SUM(IFERROR(G443:G444,0))</f>
        <v>0</v>
      </c>
    </row>
    <row r="446" spans="1:11" ht="15" hidden="1" thickBot="1" x14ac:dyDescent="0.35">
      <c r="A446" s="273" t="str">
        <f>"Site Address: " &amp; 'PROJECT SUMMARY (Old)'!C103 &amp; " - " &amp; 'PROJECT SUMMARY (Old)'!D103</f>
        <v xml:space="preserve">Site Address:  - </v>
      </c>
      <c r="B446" s="273"/>
      <c r="C446" s="273"/>
      <c r="D446" s="273"/>
      <c r="E446" s="273"/>
      <c r="F446" s="273"/>
      <c r="G446" s="273"/>
      <c r="K446" s="86"/>
    </row>
    <row r="447" spans="1:11" hidden="1" x14ac:dyDescent="0.3">
      <c r="A447" s="40" t="s">
        <v>22</v>
      </c>
      <c r="B447" s="41"/>
      <c r="C447" s="11" t="s">
        <v>16</v>
      </c>
      <c r="D447" s="11" t="s">
        <v>4</v>
      </c>
      <c r="E447" s="11" t="s">
        <v>17</v>
      </c>
      <c r="F447" s="11" t="s">
        <v>6</v>
      </c>
      <c r="G447" s="12" t="s">
        <v>7</v>
      </c>
    </row>
    <row r="448" spans="1:11" hidden="1" x14ac:dyDescent="0.3">
      <c r="A448" s="26" t="s">
        <v>279</v>
      </c>
      <c r="B448" s="27"/>
      <c r="C448" s="42">
        <v>1</v>
      </c>
      <c r="D448" s="42">
        <v>1</v>
      </c>
      <c r="E448" s="64">
        <v>0</v>
      </c>
      <c r="F448" s="44" cm="1">
        <f t="array" ref="F448">_xlfn.XLOOKUP($J$2&amp;$J$4&amp;$J$5,LISTS!$D$14:$D$28&amp;LISTS!$C$14:$C$28&amp;LISTS!$B$14:$B$28,LISTS!$E$14:$E$28)</f>
        <v>340</v>
      </c>
      <c r="G448" s="32">
        <f>+C448*D448*E448*F448</f>
        <v>0</v>
      </c>
      <c r="J448" s="122" t="e">
        <f>MROUND(SUM(#REF!,#REF!,#REF!,#REF!,#REF!),0.25)</f>
        <v>#REF!</v>
      </c>
      <c r="K448" t="s">
        <v>283</v>
      </c>
    </row>
    <row r="449" spans="1:11" ht="15" hidden="1" thickBot="1" x14ac:dyDescent="0.35">
      <c r="A449" s="14" t="s">
        <v>280</v>
      </c>
      <c r="B449" s="15"/>
      <c r="C449" s="58">
        <v>1</v>
      </c>
      <c r="D449" s="58">
        <v>1</v>
      </c>
      <c r="E449" s="65">
        <v>0</v>
      </c>
      <c r="F449" s="59">
        <f>IF(J412="Fire - Liberty Mutual/State Auto",100,_xlfn.XLOOKUP($J$4,LISTS!$B$32:$B$33,LISTS!$C$32:$C$33))</f>
        <v>185</v>
      </c>
      <c r="G449" s="60">
        <f>+C449*D449*E449*F449</f>
        <v>0</v>
      </c>
      <c r="J449" s="122" t="e">
        <f>MROUND(SUM(#REF!,#REF!,#REF!,#REF!,#REF!,#REF!,#REF!,#REF!),0.25)</f>
        <v>#REF!</v>
      </c>
      <c r="K449" t="s">
        <v>284</v>
      </c>
    </row>
    <row r="450" spans="1:11" hidden="1" x14ac:dyDescent="0.3">
      <c r="A450" s="27"/>
      <c r="B450" s="27"/>
      <c r="C450" s="182"/>
      <c r="D450" s="182"/>
      <c r="E450" s="63"/>
      <c r="F450" s="38"/>
      <c r="G450" s="61" cm="1">
        <f t="array" ref="G450">SUM(IFERROR(G448:G449,0))</f>
        <v>0</v>
      </c>
    </row>
    <row r="451" spans="1:11" ht="15" hidden="1" thickBot="1" x14ac:dyDescent="0.35">
      <c r="A451" s="273" t="str">
        <f>"Site Address: " &amp; 'PROJECT SUMMARY (Old)'!C104 &amp; " - " &amp; 'PROJECT SUMMARY (Old)'!D104</f>
        <v xml:space="preserve">Site Address:  - </v>
      </c>
      <c r="B451" s="273"/>
      <c r="C451" s="273"/>
      <c r="D451" s="273"/>
      <c r="E451" s="273"/>
      <c r="F451" s="273"/>
      <c r="G451" s="273"/>
      <c r="K451" s="86"/>
    </row>
    <row r="452" spans="1:11" hidden="1" x14ac:dyDescent="0.3">
      <c r="A452" s="40" t="s">
        <v>22</v>
      </c>
      <c r="B452" s="41"/>
      <c r="C452" s="11" t="s">
        <v>16</v>
      </c>
      <c r="D452" s="11" t="s">
        <v>4</v>
      </c>
      <c r="E452" s="11" t="s">
        <v>17</v>
      </c>
      <c r="F452" s="11" t="s">
        <v>6</v>
      </c>
      <c r="G452" s="12" t="s">
        <v>7</v>
      </c>
    </row>
    <row r="453" spans="1:11" hidden="1" x14ac:dyDescent="0.3">
      <c r="A453" s="26" t="s">
        <v>279</v>
      </c>
      <c r="B453" s="27"/>
      <c r="C453" s="42">
        <v>1</v>
      </c>
      <c r="D453" s="42">
        <v>1</v>
      </c>
      <c r="E453" s="64">
        <v>0</v>
      </c>
      <c r="F453" s="44" cm="1">
        <f t="array" ref="F453">_xlfn.XLOOKUP($J$2&amp;$J$4&amp;$J$5,LISTS!$D$14:$D$28&amp;LISTS!$C$14:$C$28&amp;LISTS!$B$14:$B$28,LISTS!$E$14:$E$28)</f>
        <v>340</v>
      </c>
      <c r="G453" s="32">
        <f>+C453*D453*E453*F453</f>
        <v>0</v>
      </c>
      <c r="J453" s="122" t="e">
        <f>MROUND(SUM(#REF!,#REF!,#REF!,#REF!,#REF!),0.25)</f>
        <v>#REF!</v>
      </c>
      <c r="K453" t="s">
        <v>283</v>
      </c>
    </row>
    <row r="454" spans="1:11" ht="15" hidden="1" thickBot="1" x14ac:dyDescent="0.35">
      <c r="A454" s="14" t="s">
        <v>280</v>
      </c>
      <c r="B454" s="15"/>
      <c r="C454" s="58">
        <v>1</v>
      </c>
      <c r="D454" s="58">
        <v>1</v>
      </c>
      <c r="E454" s="65">
        <v>0</v>
      </c>
      <c r="F454" s="59">
        <f>IF(J417="Fire - Liberty Mutual/State Auto",100,_xlfn.XLOOKUP($J$4,LISTS!$B$32:$B$33,LISTS!$C$32:$C$33))</f>
        <v>185</v>
      </c>
      <c r="G454" s="60">
        <f>+C454*D454*E454*F454</f>
        <v>0</v>
      </c>
      <c r="J454" s="122" t="e">
        <f>MROUND(SUM(#REF!,#REF!,#REF!,#REF!,#REF!,#REF!,#REF!,#REF!),0.25)</f>
        <v>#REF!</v>
      </c>
      <c r="K454" t="s">
        <v>284</v>
      </c>
    </row>
    <row r="455" spans="1:11" hidden="1" x14ac:dyDescent="0.3">
      <c r="A455" s="27"/>
      <c r="B455" s="27"/>
      <c r="C455" s="182"/>
      <c r="D455" s="182"/>
      <c r="E455" s="63"/>
      <c r="F455" s="38"/>
      <c r="G455" s="61" cm="1">
        <f t="array" ref="G455">SUM(IFERROR(G453:G454,0))</f>
        <v>0</v>
      </c>
    </row>
    <row r="456" spans="1:11" ht="15" hidden="1" thickBot="1" x14ac:dyDescent="0.35">
      <c r="A456" s="273" t="str">
        <f>"Site Address: " &amp; 'PROJECT SUMMARY (Old)'!C105 &amp; " - " &amp; 'PROJECT SUMMARY (Old)'!D105</f>
        <v xml:space="preserve">Site Address:  - </v>
      </c>
      <c r="B456" s="273"/>
      <c r="C456" s="273"/>
      <c r="D456" s="273"/>
      <c r="E456" s="273"/>
      <c r="F456" s="273"/>
      <c r="G456" s="273"/>
      <c r="K456" s="86"/>
    </row>
    <row r="457" spans="1:11" hidden="1" x14ac:dyDescent="0.3">
      <c r="A457" s="40" t="s">
        <v>22</v>
      </c>
      <c r="B457" s="41"/>
      <c r="C457" s="11" t="s">
        <v>16</v>
      </c>
      <c r="D457" s="11" t="s">
        <v>4</v>
      </c>
      <c r="E457" s="11" t="s">
        <v>17</v>
      </c>
      <c r="F457" s="11" t="s">
        <v>6</v>
      </c>
      <c r="G457" s="12" t="s">
        <v>7</v>
      </c>
    </row>
    <row r="458" spans="1:11" hidden="1" x14ac:dyDescent="0.3">
      <c r="A458" s="26" t="s">
        <v>279</v>
      </c>
      <c r="B458" s="27"/>
      <c r="C458" s="42">
        <v>1</v>
      </c>
      <c r="D458" s="42">
        <v>1</v>
      </c>
      <c r="E458" s="64">
        <v>0</v>
      </c>
      <c r="F458" s="44" cm="1">
        <f t="array" ref="F458">_xlfn.XLOOKUP($J$2&amp;$J$4&amp;$J$5,LISTS!$D$14:$D$28&amp;LISTS!$C$14:$C$28&amp;LISTS!$B$14:$B$28,LISTS!$E$14:$E$28)</f>
        <v>340</v>
      </c>
      <c r="G458" s="32">
        <f>+C458*D458*E458*F458</f>
        <v>0</v>
      </c>
      <c r="J458" s="122" t="e">
        <f>MROUND(SUM(#REF!,#REF!,#REF!,#REF!,#REF!),0.25)</f>
        <v>#REF!</v>
      </c>
      <c r="K458" t="s">
        <v>283</v>
      </c>
    </row>
    <row r="459" spans="1:11" ht="15" hidden="1" thickBot="1" x14ac:dyDescent="0.35">
      <c r="A459" s="14" t="s">
        <v>280</v>
      </c>
      <c r="B459" s="15"/>
      <c r="C459" s="58">
        <v>1</v>
      </c>
      <c r="D459" s="58">
        <v>1</v>
      </c>
      <c r="E459" s="65">
        <v>0</v>
      </c>
      <c r="F459" s="59">
        <f>IF(J422="Fire - Liberty Mutual/State Auto",100,_xlfn.XLOOKUP($J$4,LISTS!$B$32:$B$33,LISTS!$C$32:$C$33))</f>
        <v>185</v>
      </c>
      <c r="G459" s="60">
        <f>+C459*D459*E459*F459</f>
        <v>0</v>
      </c>
      <c r="J459" s="122" t="e">
        <f>MROUND(SUM(#REF!,#REF!,#REF!,#REF!,#REF!,#REF!,#REF!,#REF!),0.25)</f>
        <v>#REF!</v>
      </c>
      <c r="K459" t="s">
        <v>284</v>
      </c>
    </row>
    <row r="460" spans="1:11" hidden="1" x14ac:dyDescent="0.3">
      <c r="A460" s="27"/>
      <c r="B460" s="27"/>
      <c r="C460" s="182"/>
      <c r="D460" s="182"/>
      <c r="E460" s="63"/>
      <c r="F460" s="38"/>
      <c r="G460" s="61" cm="1">
        <f t="array" ref="G460">SUM(IFERROR(G458:G459,0))</f>
        <v>0</v>
      </c>
    </row>
    <row r="461" spans="1:11" ht="15" hidden="1" thickBot="1" x14ac:dyDescent="0.35">
      <c r="A461" s="273" t="str">
        <f>"Site Address: " &amp; 'PROJECT SUMMARY (Old)'!C106 &amp; " - " &amp; 'PROJECT SUMMARY (Old)'!D106</f>
        <v xml:space="preserve">Site Address:  - </v>
      </c>
      <c r="B461" s="273"/>
      <c r="C461" s="273"/>
      <c r="D461" s="273"/>
      <c r="E461" s="273"/>
      <c r="F461" s="273"/>
      <c r="G461" s="273"/>
      <c r="K461" s="86"/>
    </row>
    <row r="462" spans="1:11" hidden="1" x14ac:dyDescent="0.3">
      <c r="A462" s="40" t="s">
        <v>22</v>
      </c>
      <c r="B462" s="41"/>
      <c r="C462" s="11" t="s">
        <v>16</v>
      </c>
      <c r="D462" s="11" t="s">
        <v>4</v>
      </c>
      <c r="E462" s="11" t="s">
        <v>17</v>
      </c>
      <c r="F462" s="11" t="s">
        <v>6</v>
      </c>
      <c r="G462" s="12" t="s">
        <v>7</v>
      </c>
    </row>
    <row r="463" spans="1:11" hidden="1" x14ac:dyDescent="0.3">
      <c r="A463" s="26" t="s">
        <v>279</v>
      </c>
      <c r="B463" s="27"/>
      <c r="C463" s="42">
        <v>1</v>
      </c>
      <c r="D463" s="42">
        <v>1</v>
      </c>
      <c r="E463" s="64">
        <v>0</v>
      </c>
      <c r="F463" s="44" cm="1">
        <f t="array" ref="F463">_xlfn.XLOOKUP($J$2&amp;$J$4&amp;$J$5,LISTS!$D$14:$D$28&amp;LISTS!$C$14:$C$28&amp;LISTS!$B$14:$B$28,LISTS!$E$14:$E$28)</f>
        <v>340</v>
      </c>
      <c r="G463" s="32">
        <f>+C463*D463*E463*F463</f>
        <v>0</v>
      </c>
      <c r="J463" s="122" t="e">
        <f>MROUND(SUM(#REF!,#REF!,#REF!,#REF!,#REF!),0.25)</f>
        <v>#REF!</v>
      </c>
      <c r="K463" t="s">
        <v>283</v>
      </c>
    </row>
    <row r="464" spans="1:11" ht="15" hidden="1" thickBot="1" x14ac:dyDescent="0.35">
      <c r="A464" s="14" t="s">
        <v>280</v>
      </c>
      <c r="B464" s="15"/>
      <c r="C464" s="58">
        <v>1</v>
      </c>
      <c r="D464" s="58">
        <v>1</v>
      </c>
      <c r="E464" s="65">
        <v>0</v>
      </c>
      <c r="F464" s="59">
        <f>IF(J427="Fire - Liberty Mutual/State Auto",100,_xlfn.XLOOKUP($J$4,LISTS!$B$32:$B$33,LISTS!$C$32:$C$33))</f>
        <v>185</v>
      </c>
      <c r="G464" s="60">
        <f>+C464*D464*E464*F464</f>
        <v>0</v>
      </c>
      <c r="J464" s="122" t="e">
        <f>MROUND(SUM(#REF!,#REF!,#REF!,#REF!,#REF!,#REF!,#REF!,#REF!),0.25)</f>
        <v>#REF!</v>
      </c>
      <c r="K464" t="s">
        <v>284</v>
      </c>
    </row>
    <row r="465" spans="1:11" hidden="1" x14ac:dyDescent="0.3">
      <c r="A465" s="27"/>
      <c r="B465" s="27"/>
      <c r="C465" s="182"/>
      <c r="D465" s="182"/>
      <c r="E465" s="63"/>
      <c r="F465" s="38"/>
      <c r="G465" s="61" cm="1">
        <f t="array" ref="G465">SUM(IFERROR(G463:G464,0))</f>
        <v>0</v>
      </c>
    </row>
    <row r="466" spans="1:11" ht="15" hidden="1" thickBot="1" x14ac:dyDescent="0.35">
      <c r="A466" s="273" t="str">
        <f>"Site Address: " &amp; 'PROJECT SUMMARY (Old)'!C107 &amp; " - " &amp; 'PROJECT SUMMARY (Old)'!D107</f>
        <v xml:space="preserve">Site Address:  - </v>
      </c>
      <c r="B466" s="273"/>
      <c r="C466" s="273"/>
      <c r="D466" s="273"/>
      <c r="E466" s="273"/>
      <c r="F466" s="273"/>
      <c r="G466" s="273"/>
      <c r="K466" s="86"/>
    </row>
    <row r="467" spans="1:11" hidden="1" x14ac:dyDescent="0.3">
      <c r="A467" s="40" t="s">
        <v>22</v>
      </c>
      <c r="B467" s="41"/>
      <c r="C467" s="11" t="s">
        <v>16</v>
      </c>
      <c r="D467" s="11" t="s">
        <v>4</v>
      </c>
      <c r="E467" s="11" t="s">
        <v>17</v>
      </c>
      <c r="F467" s="11" t="s">
        <v>6</v>
      </c>
      <c r="G467" s="12" t="s">
        <v>7</v>
      </c>
    </row>
    <row r="468" spans="1:11" hidden="1" x14ac:dyDescent="0.3">
      <c r="A468" s="26" t="s">
        <v>279</v>
      </c>
      <c r="B468" s="27"/>
      <c r="C468" s="42">
        <v>1</v>
      </c>
      <c r="D468" s="42">
        <v>1</v>
      </c>
      <c r="E468" s="64">
        <v>0</v>
      </c>
      <c r="F468" s="44" cm="1">
        <f t="array" ref="F468">_xlfn.XLOOKUP($J$2&amp;$J$4&amp;$J$5,LISTS!$D$14:$D$28&amp;LISTS!$C$14:$C$28&amp;LISTS!$B$14:$B$28,LISTS!$E$14:$E$28)</f>
        <v>340</v>
      </c>
      <c r="G468" s="32">
        <f>+C468*D468*E468*F468</f>
        <v>0</v>
      </c>
      <c r="J468" s="122" t="e">
        <f>MROUND(SUM(#REF!,#REF!,#REF!,#REF!,#REF!),0.25)</f>
        <v>#REF!</v>
      </c>
      <c r="K468" t="s">
        <v>283</v>
      </c>
    </row>
    <row r="469" spans="1:11" ht="15" hidden="1" thickBot="1" x14ac:dyDescent="0.35">
      <c r="A469" s="14" t="s">
        <v>280</v>
      </c>
      <c r="B469" s="15"/>
      <c r="C469" s="58">
        <v>1</v>
      </c>
      <c r="D469" s="58">
        <v>1</v>
      </c>
      <c r="E469" s="65">
        <v>0</v>
      </c>
      <c r="F469" s="59">
        <f>IF(J432="Fire - Liberty Mutual/State Auto",100,_xlfn.XLOOKUP($J$4,LISTS!$B$32:$B$33,LISTS!$C$32:$C$33))</f>
        <v>185</v>
      </c>
      <c r="G469" s="60">
        <f>+C469*D469*E469*F469</f>
        <v>0</v>
      </c>
      <c r="J469" s="122" t="e">
        <f>MROUND(SUM(#REF!,#REF!,#REF!,#REF!,#REF!,#REF!,#REF!,#REF!),0.25)</f>
        <v>#REF!</v>
      </c>
      <c r="K469" t="s">
        <v>284</v>
      </c>
    </row>
    <row r="470" spans="1:11" hidden="1" x14ac:dyDescent="0.3">
      <c r="A470" s="27"/>
      <c r="B470" s="27"/>
      <c r="C470" s="182"/>
      <c r="D470" s="182"/>
      <c r="E470" s="63"/>
      <c r="F470" s="38"/>
      <c r="G470" s="61" cm="1">
        <f t="array" ref="G470">SUM(IFERROR(G468:G469,0))</f>
        <v>0</v>
      </c>
    </row>
    <row r="471" spans="1:11" ht="15" hidden="1" thickBot="1" x14ac:dyDescent="0.35">
      <c r="A471" s="273" t="str">
        <f>"Site Address: " &amp; 'PROJECT SUMMARY (Old)'!C108 &amp; " - " &amp; 'PROJECT SUMMARY (Old)'!D108</f>
        <v xml:space="preserve">Site Address:  - </v>
      </c>
      <c r="B471" s="273"/>
      <c r="C471" s="273"/>
      <c r="D471" s="273"/>
      <c r="E471" s="273"/>
      <c r="F471" s="273"/>
      <c r="G471" s="273"/>
      <c r="K471" s="86"/>
    </row>
    <row r="472" spans="1:11" hidden="1" x14ac:dyDescent="0.3">
      <c r="A472" s="40" t="s">
        <v>22</v>
      </c>
      <c r="B472" s="41"/>
      <c r="C472" s="11" t="s">
        <v>16</v>
      </c>
      <c r="D472" s="11" t="s">
        <v>4</v>
      </c>
      <c r="E472" s="11" t="s">
        <v>17</v>
      </c>
      <c r="F472" s="11" t="s">
        <v>6</v>
      </c>
      <c r="G472" s="12" t="s">
        <v>7</v>
      </c>
    </row>
    <row r="473" spans="1:11" hidden="1" x14ac:dyDescent="0.3">
      <c r="A473" s="26" t="s">
        <v>279</v>
      </c>
      <c r="B473" s="27"/>
      <c r="C473" s="42">
        <v>1</v>
      </c>
      <c r="D473" s="42">
        <v>1</v>
      </c>
      <c r="E473" s="64">
        <v>0</v>
      </c>
      <c r="F473" s="44" cm="1">
        <f t="array" ref="F473">_xlfn.XLOOKUP($J$2&amp;$J$4&amp;$J$5,LISTS!$D$14:$D$28&amp;LISTS!$C$14:$C$28&amp;LISTS!$B$14:$B$28,LISTS!$E$14:$E$28)</f>
        <v>340</v>
      </c>
      <c r="G473" s="32">
        <f>+C473*D473*E473*F473</f>
        <v>0</v>
      </c>
      <c r="J473" s="122" t="e">
        <f>MROUND(SUM(#REF!,#REF!,#REF!,#REF!,#REF!),0.25)</f>
        <v>#REF!</v>
      </c>
      <c r="K473" t="s">
        <v>283</v>
      </c>
    </row>
    <row r="474" spans="1:11" ht="15" hidden="1" thickBot="1" x14ac:dyDescent="0.35">
      <c r="A474" s="14" t="s">
        <v>280</v>
      </c>
      <c r="B474" s="15"/>
      <c r="C474" s="58">
        <v>1</v>
      </c>
      <c r="D474" s="58">
        <v>1</v>
      </c>
      <c r="E474" s="65">
        <v>0</v>
      </c>
      <c r="F474" s="59">
        <f>IF(J437="Fire - Liberty Mutual/State Auto",100,_xlfn.XLOOKUP($J$4,LISTS!$B$32:$B$33,LISTS!$C$32:$C$33))</f>
        <v>185</v>
      </c>
      <c r="G474" s="60">
        <f>+C474*D474*E474*F474</f>
        <v>0</v>
      </c>
      <c r="J474" s="122" t="e">
        <f>MROUND(SUM(#REF!,#REF!,#REF!,#REF!,#REF!,#REF!,#REF!,#REF!),0.25)</f>
        <v>#REF!</v>
      </c>
      <c r="K474" t="s">
        <v>284</v>
      </c>
    </row>
    <row r="475" spans="1:11" hidden="1" x14ac:dyDescent="0.3">
      <c r="A475" s="27"/>
      <c r="B475" s="27"/>
      <c r="C475" s="182"/>
      <c r="D475" s="182"/>
      <c r="E475" s="63"/>
      <c r="F475" s="38"/>
      <c r="G475" s="61" cm="1">
        <f t="array" ref="G475">SUM(IFERROR(G473:G474,0))</f>
        <v>0</v>
      </c>
    </row>
    <row r="476" spans="1:11" ht="15" hidden="1" thickBot="1" x14ac:dyDescent="0.35">
      <c r="A476" s="273" t="str">
        <f>"Site Address: " &amp; 'PROJECT SUMMARY (Old)'!C109 &amp; " - " &amp; 'PROJECT SUMMARY (Old)'!D109</f>
        <v xml:space="preserve">Site Address:  - </v>
      </c>
      <c r="B476" s="273"/>
      <c r="C476" s="273"/>
      <c r="D476" s="273"/>
      <c r="E476" s="273"/>
      <c r="F476" s="273"/>
      <c r="G476" s="273"/>
      <c r="K476" s="86"/>
    </row>
    <row r="477" spans="1:11" hidden="1" x14ac:dyDescent="0.3">
      <c r="A477" s="40" t="s">
        <v>22</v>
      </c>
      <c r="B477" s="41"/>
      <c r="C477" s="11" t="s">
        <v>16</v>
      </c>
      <c r="D477" s="11" t="s">
        <v>4</v>
      </c>
      <c r="E477" s="11" t="s">
        <v>17</v>
      </c>
      <c r="F477" s="11" t="s">
        <v>6</v>
      </c>
      <c r="G477" s="12" t="s">
        <v>7</v>
      </c>
    </row>
    <row r="478" spans="1:11" hidden="1" x14ac:dyDescent="0.3">
      <c r="A478" s="26" t="s">
        <v>279</v>
      </c>
      <c r="B478" s="27"/>
      <c r="C478" s="42">
        <v>1</v>
      </c>
      <c r="D478" s="42">
        <v>1</v>
      </c>
      <c r="E478" s="64">
        <v>0</v>
      </c>
      <c r="F478" s="44" cm="1">
        <f t="array" ref="F478">_xlfn.XLOOKUP($J$2&amp;$J$4&amp;$J$5,LISTS!$D$14:$D$28&amp;LISTS!$C$14:$C$28&amp;LISTS!$B$14:$B$28,LISTS!$E$14:$E$28)</f>
        <v>340</v>
      </c>
      <c r="G478" s="32">
        <f>+C478*D478*E478*F478</f>
        <v>0</v>
      </c>
      <c r="J478" s="122" t="e">
        <f>MROUND(SUM(#REF!,#REF!,#REF!,#REF!,#REF!),0.25)</f>
        <v>#REF!</v>
      </c>
      <c r="K478" t="s">
        <v>283</v>
      </c>
    </row>
    <row r="479" spans="1:11" ht="15" hidden="1" thickBot="1" x14ac:dyDescent="0.35">
      <c r="A479" s="14" t="s">
        <v>280</v>
      </c>
      <c r="B479" s="15"/>
      <c r="C479" s="58">
        <v>1</v>
      </c>
      <c r="D479" s="58">
        <v>1</v>
      </c>
      <c r="E479" s="65">
        <v>0</v>
      </c>
      <c r="F479" s="59">
        <f>IF(J442="Fire - Liberty Mutual/State Auto",100,_xlfn.XLOOKUP($J$4,LISTS!$B$32:$B$33,LISTS!$C$32:$C$33))</f>
        <v>185</v>
      </c>
      <c r="G479" s="60">
        <f>+C479*D479*E479*F479</f>
        <v>0</v>
      </c>
      <c r="J479" s="122" t="e">
        <f>MROUND(SUM(#REF!,#REF!,#REF!,#REF!,#REF!,#REF!,#REF!,#REF!),0.25)</f>
        <v>#REF!</v>
      </c>
      <c r="K479" t="s">
        <v>284</v>
      </c>
    </row>
    <row r="480" spans="1:11" hidden="1" x14ac:dyDescent="0.3">
      <c r="A480" s="27"/>
      <c r="B480" s="27"/>
      <c r="C480" s="182"/>
      <c r="D480" s="182"/>
      <c r="E480" s="63"/>
      <c r="F480" s="38"/>
      <c r="G480" s="61" cm="1">
        <f t="array" ref="G480">SUM(IFERROR(G478:G479,0))</f>
        <v>0</v>
      </c>
    </row>
    <row r="481" spans="1:11" ht="15" hidden="1" thickBot="1" x14ac:dyDescent="0.35">
      <c r="A481" s="273" t="str">
        <f>"Site Address: " &amp; 'PROJECT SUMMARY (Old)'!C110 &amp; " - " &amp; 'PROJECT SUMMARY (Old)'!D110</f>
        <v xml:space="preserve">Site Address:  - </v>
      </c>
      <c r="B481" s="273"/>
      <c r="C481" s="273"/>
      <c r="D481" s="273"/>
      <c r="E481" s="273"/>
      <c r="F481" s="273"/>
      <c r="G481" s="273"/>
      <c r="K481" s="86"/>
    </row>
    <row r="482" spans="1:11" hidden="1" x14ac:dyDescent="0.3">
      <c r="A482" s="40" t="s">
        <v>22</v>
      </c>
      <c r="B482" s="41"/>
      <c r="C482" s="11" t="s">
        <v>16</v>
      </c>
      <c r="D482" s="11" t="s">
        <v>4</v>
      </c>
      <c r="E482" s="11" t="s">
        <v>17</v>
      </c>
      <c r="F482" s="11" t="s">
        <v>6</v>
      </c>
      <c r="G482" s="12" t="s">
        <v>7</v>
      </c>
    </row>
    <row r="483" spans="1:11" hidden="1" x14ac:dyDescent="0.3">
      <c r="A483" s="26" t="s">
        <v>279</v>
      </c>
      <c r="B483" s="27"/>
      <c r="C483" s="42">
        <v>1</v>
      </c>
      <c r="D483" s="42">
        <v>1</v>
      </c>
      <c r="E483" s="64">
        <v>0</v>
      </c>
      <c r="F483" s="44" cm="1">
        <f t="array" ref="F483">_xlfn.XLOOKUP($J$2&amp;$J$4&amp;$J$5,LISTS!$D$14:$D$28&amp;LISTS!$C$14:$C$28&amp;LISTS!$B$14:$B$28,LISTS!$E$14:$E$28)</f>
        <v>340</v>
      </c>
      <c r="G483" s="32">
        <f>+C483*D483*E483*F483</f>
        <v>0</v>
      </c>
      <c r="J483" s="122" t="e">
        <f>MROUND(SUM(#REF!,#REF!,#REF!,#REF!,#REF!),0.25)</f>
        <v>#REF!</v>
      </c>
      <c r="K483" t="s">
        <v>283</v>
      </c>
    </row>
    <row r="484" spans="1:11" ht="15" hidden="1" thickBot="1" x14ac:dyDescent="0.35">
      <c r="A484" s="14" t="s">
        <v>280</v>
      </c>
      <c r="B484" s="15"/>
      <c r="C484" s="58">
        <v>1</v>
      </c>
      <c r="D484" s="58">
        <v>1</v>
      </c>
      <c r="E484" s="65">
        <v>0</v>
      </c>
      <c r="F484" s="59">
        <f>IF(J447="Fire - Liberty Mutual/State Auto",100,_xlfn.XLOOKUP($J$4,LISTS!$B$32:$B$33,LISTS!$C$32:$C$33))</f>
        <v>185</v>
      </c>
      <c r="G484" s="60">
        <f>+C484*D484*E484*F484</f>
        <v>0</v>
      </c>
      <c r="J484" s="122" t="e">
        <f>MROUND(SUM(#REF!,#REF!,#REF!,#REF!,#REF!,#REF!,#REF!,#REF!),0.25)</f>
        <v>#REF!</v>
      </c>
      <c r="K484" t="s">
        <v>284</v>
      </c>
    </row>
    <row r="485" spans="1:11" hidden="1" x14ac:dyDescent="0.3">
      <c r="A485" s="27"/>
      <c r="B485" s="27"/>
      <c r="C485" s="182"/>
      <c r="D485" s="182"/>
      <c r="E485" s="63"/>
      <c r="F485" s="38"/>
      <c r="G485" s="61" cm="1">
        <f t="array" ref="G485">SUM(IFERROR(G483:G484,0))</f>
        <v>0</v>
      </c>
    </row>
    <row r="486" spans="1:11" ht="15" hidden="1" thickBot="1" x14ac:dyDescent="0.35">
      <c r="A486" s="273" t="str">
        <f>"Site Address: " &amp; 'PROJECT SUMMARY (Old)'!C111 &amp; " - " &amp; 'PROJECT SUMMARY (Old)'!D111</f>
        <v xml:space="preserve">Site Address:  - </v>
      </c>
      <c r="B486" s="273"/>
      <c r="C486" s="273"/>
      <c r="D486" s="273"/>
      <c r="E486" s="273"/>
      <c r="F486" s="273"/>
      <c r="G486" s="273"/>
      <c r="K486" s="86"/>
    </row>
    <row r="487" spans="1:11" hidden="1" x14ac:dyDescent="0.3">
      <c r="A487" s="40" t="s">
        <v>22</v>
      </c>
      <c r="B487" s="41"/>
      <c r="C487" s="11" t="s">
        <v>16</v>
      </c>
      <c r="D487" s="11" t="s">
        <v>4</v>
      </c>
      <c r="E487" s="11" t="s">
        <v>17</v>
      </c>
      <c r="F487" s="11" t="s">
        <v>6</v>
      </c>
      <c r="G487" s="12" t="s">
        <v>7</v>
      </c>
    </row>
    <row r="488" spans="1:11" hidden="1" x14ac:dyDescent="0.3">
      <c r="A488" s="26" t="s">
        <v>279</v>
      </c>
      <c r="B488" s="27"/>
      <c r="C488" s="42">
        <v>1</v>
      </c>
      <c r="D488" s="42">
        <v>1</v>
      </c>
      <c r="E488" s="64">
        <v>0</v>
      </c>
      <c r="F488" s="44" cm="1">
        <f t="array" ref="F488">_xlfn.XLOOKUP($J$2&amp;$J$4&amp;$J$5,LISTS!$D$14:$D$28&amp;LISTS!$C$14:$C$28&amp;LISTS!$B$14:$B$28,LISTS!$E$14:$E$28)</f>
        <v>340</v>
      </c>
      <c r="G488" s="32">
        <f>+C488*D488*E488*F488</f>
        <v>0</v>
      </c>
      <c r="J488" s="122" t="e">
        <f>MROUND(SUM(#REF!,#REF!,#REF!,#REF!,#REF!),0.25)</f>
        <v>#REF!</v>
      </c>
      <c r="K488" t="s">
        <v>283</v>
      </c>
    </row>
    <row r="489" spans="1:11" ht="15" hidden="1" thickBot="1" x14ac:dyDescent="0.35">
      <c r="A489" s="14" t="s">
        <v>280</v>
      </c>
      <c r="B489" s="15"/>
      <c r="C489" s="58">
        <v>1</v>
      </c>
      <c r="D489" s="58">
        <v>1</v>
      </c>
      <c r="E489" s="65">
        <v>0</v>
      </c>
      <c r="F489" s="59">
        <f>IF(J452="Fire - Liberty Mutual/State Auto",100,_xlfn.XLOOKUP($J$4,LISTS!$B$32:$B$33,LISTS!$C$32:$C$33))</f>
        <v>185</v>
      </c>
      <c r="G489" s="60">
        <f>+C489*D489*E489*F489</f>
        <v>0</v>
      </c>
      <c r="J489" s="122" t="e">
        <f>MROUND(SUM(#REF!,#REF!,#REF!,#REF!,#REF!,#REF!,#REF!,#REF!),0.25)</f>
        <v>#REF!</v>
      </c>
      <c r="K489" t="s">
        <v>284</v>
      </c>
    </row>
    <row r="490" spans="1:11" hidden="1" x14ac:dyDescent="0.3">
      <c r="A490" s="27"/>
      <c r="B490" s="27"/>
      <c r="C490" s="182"/>
      <c r="D490" s="182"/>
      <c r="E490" s="63"/>
      <c r="F490" s="38"/>
      <c r="G490" s="61" cm="1">
        <f t="array" ref="G490">SUM(IFERROR(G488:G489,0))</f>
        <v>0</v>
      </c>
    </row>
    <row r="491" spans="1:11" ht="15" hidden="1" thickBot="1" x14ac:dyDescent="0.35">
      <c r="A491" s="273" t="str">
        <f>"Site Address: " &amp; 'PROJECT SUMMARY (Old)'!C112 &amp; " - " &amp; 'PROJECT SUMMARY (Old)'!D112</f>
        <v xml:space="preserve">Site Address:  - </v>
      </c>
      <c r="B491" s="273"/>
      <c r="C491" s="273"/>
      <c r="D491" s="273"/>
      <c r="E491" s="273"/>
      <c r="F491" s="273"/>
      <c r="G491" s="273"/>
      <c r="K491" s="86"/>
    </row>
    <row r="492" spans="1:11" hidden="1" x14ac:dyDescent="0.3">
      <c r="A492" s="40" t="s">
        <v>22</v>
      </c>
      <c r="B492" s="41"/>
      <c r="C492" s="11" t="s">
        <v>16</v>
      </c>
      <c r="D492" s="11" t="s">
        <v>4</v>
      </c>
      <c r="E492" s="11" t="s">
        <v>17</v>
      </c>
      <c r="F492" s="11" t="s">
        <v>6</v>
      </c>
      <c r="G492" s="12" t="s">
        <v>7</v>
      </c>
    </row>
    <row r="493" spans="1:11" hidden="1" x14ac:dyDescent="0.3">
      <c r="A493" s="26" t="s">
        <v>279</v>
      </c>
      <c r="B493" s="27"/>
      <c r="C493" s="42">
        <v>1</v>
      </c>
      <c r="D493" s="42">
        <v>1</v>
      </c>
      <c r="E493" s="64">
        <v>0</v>
      </c>
      <c r="F493" s="44" cm="1">
        <f t="array" ref="F493">_xlfn.XLOOKUP($J$2&amp;$J$4&amp;$J$5,LISTS!$D$14:$D$28&amp;LISTS!$C$14:$C$28&amp;LISTS!$B$14:$B$28,LISTS!$E$14:$E$28)</f>
        <v>340</v>
      </c>
      <c r="G493" s="32">
        <f>+C493*D493*E493*F493</f>
        <v>0</v>
      </c>
      <c r="J493" s="122" t="e">
        <f>MROUND(SUM(#REF!,#REF!,#REF!,#REF!,#REF!),0.25)</f>
        <v>#REF!</v>
      </c>
      <c r="K493" t="s">
        <v>283</v>
      </c>
    </row>
    <row r="494" spans="1:11" ht="15" hidden="1" thickBot="1" x14ac:dyDescent="0.35">
      <c r="A494" s="14" t="s">
        <v>280</v>
      </c>
      <c r="B494" s="15"/>
      <c r="C494" s="58">
        <v>1</v>
      </c>
      <c r="D494" s="58">
        <v>1</v>
      </c>
      <c r="E494" s="65">
        <v>0</v>
      </c>
      <c r="F494" s="59">
        <f>IF(J457="Fire - Liberty Mutual/State Auto",100,_xlfn.XLOOKUP($J$4,LISTS!$B$32:$B$33,LISTS!$C$32:$C$33))</f>
        <v>185</v>
      </c>
      <c r="G494" s="60">
        <f>+C494*D494*E494*F494</f>
        <v>0</v>
      </c>
      <c r="J494" s="122" t="e">
        <f>MROUND(SUM(#REF!,#REF!,#REF!,#REF!,#REF!,#REF!,#REF!,#REF!),0.25)</f>
        <v>#REF!</v>
      </c>
      <c r="K494" t="s">
        <v>284</v>
      </c>
    </row>
    <row r="495" spans="1:11" hidden="1" x14ac:dyDescent="0.3">
      <c r="A495" s="27"/>
      <c r="B495" s="27"/>
      <c r="C495" s="182"/>
      <c r="D495" s="182"/>
      <c r="E495" s="63"/>
      <c r="F495" s="38"/>
      <c r="G495" s="61" cm="1">
        <f t="array" ref="G495">SUM(IFERROR(G493:G494,0))</f>
        <v>0</v>
      </c>
    </row>
    <row r="496" spans="1:11" ht="15" hidden="1" thickBot="1" x14ac:dyDescent="0.35">
      <c r="A496" s="273" t="str">
        <f>"Site Address: " &amp; 'PROJECT SUMMARY (Old)'!C113 &amp; " - " &amp; 'PROJECT SUMMARY (Old)'!D113</f>
        <v xml:space="preserve">Site Address:  - </v>
      </c>
      <c r="B496" s="273"/>
      <c r="C496" s="273"/>
      <c r="D496" s="273"/>
      <c r="E496" s="273"/>
      <c r="F496" s="273"/>
      <c r="G496" s="273"/>
      <c r="K496" s="86"/>
    </row>
    <row r="497" spans="1:11" hidden="1" x14ac:dyDescent="0.3">
      <c r="A497" s="40" t="s">
        <v>22</v>
      </c>
      <c r="B497" s="41"/>
      <c r="C497" s="11" t="s">
        <v>16</v>
      </c>
      <c r="D497" s="11" t="s">
        <v>4</v>
      </c>
      <c r="E497" s="11" t="s">
        <v>17</v>
      </c>
      <c r="F497" s="11" t="s">
        <v>6</v>
      </c>
      <c r="G497" s="12" t="s">
        <v>7</v>
      </c>
    </row>
    <row r="498" spans="1:11" hidden="1" x14ac:dyDescent="0.3">
      <c r="A498" s="26" t="s">
        <v>279</v>
      </c>
      <c r="B498" s="27"/>
      <c r="C498" s="42">
        <v>1</v>
      </c>
      <c r="D498" s="42">
        <v>1</v>
      </c>
      <c r="E498" s="64">
        <v>0</v>
      </c>
      <c r="F498" s="44" cm="1">
        <f t="array" ref="F498">_xlfn.XLOOKUP($J$2&amp;$J$4&amp;$J$5,LISTS!$D$14:$D$28&amp;LISTS!$C$14:$C$28&amp;LISTS!$B$14:$B$28,LISTS!$E$14:$E$28)</f>
        <v>340</v>
      </c>
      <c r="G498" s="32">
        <f>+C498*D498*E498*F498</f>
        <v>0</v>
      </c>
      <c r="J498" s="122" t="e">
        <f>MROUND(SUM(#REF!,#REF!,#REF!,#REF!,#REF!),0.25)</f>
        <v>#REF!</v>
      </c>
      <c r="K498" t="s">
        <v>283</v>
      </c>
    </row>
    <row r="499" spans="1:11" ht="15" hidden="1" thickBot="1" x14ac:dyDescent="0.35">
      <c r="A499" s="14" t="s">
        <v>280</v>
      </c>
      <c r="B499" s="15"/>
      <c r="C499" s="58">
        <v>1</v>
      </c>
      <c r="D499" s="58">
        <v>1</v>
      </c>
      <c r="E499" s="65">
        <v>0</v>
      </c>
      <c r="F499" s="59">
        <f>IF(J462="Fire - Liberty Mutual/State Auto",100,_xlfn.XLOOKUP($J$4,LISTS!$B$32:$B$33,LISTS!$C$32:$C$33))</f>
        <v>185</v>
      </c>
      <c r="G499" s="60">
        <f>+C499*D499*E499*F499</f>
        <v>0</v>
      </c>
      <c r="J499" s="122" t="e">
        <f>MROUND(SUM(#REF!,#REF!,#REF!,#REF!,#REF!,#REF!,#REF!,#REF!),0.25)</f>
        <v>#REF!</v>
      </c>
      <c r="K499" t="s">
        <v>284</v>
      </c>
    </row>
    <row r="500" spans="1:11" hidden="1" x14ac:dyDescent="0.3">
      <c r="A500" s="27"/>
      <c r="B500" s="27"/>
      <c r="C500" s="182"/>
      <c r="D500" s="182"/>
      <c r="E500" s="63"/>
      <c r="F500" s="38"/>
      <c r="G500" s="61" cm="1">
        <f t="array" ref="G500">SUM(IFERROR(G498:G499,0))</f>
        <v>0</v>
      </c>
    </row>
    <row r="501" spans="1:11" ht="15" hidden="1" thickBot="1" x14ac:dyDescent="0.35">
      <c r="A501" s="273" t="str">
        <f>"Site Address: " &amp; 'PROJECT SUMMARY (Old)'!C114 &amp; " - " &amp; 'PROJECT SUMMARY (Old)'!D114</f>
        <v xml:space="preserve">Site Address:  - </v>
      </c>
      <c r="B501" s="273"/>
      <c r="C501" s="273"/>
      <c r="D501" s="273"/>
      <c r="E501" s="273"/>
      <c r="F501" s="273"/>
      <c r="G501" s="273"/>
      <c r="K501" s="86"/>
    </row>
    <row r="502" spans="1:11" hidden="1" x14ac:dyDescent="0.3">
      <c r="A502" s="40" t="s">
        <v>22</v>
      </c>
      <c r="B502" s="41"/>
      <c r="C502" s="11" t="s">
        <v>16</v>
      </c>
      <c r="D502" s="11" t="s">
        <v>4</v>
      </c>
      <c r="E502" s="11" t="s">
        <v>17</v>
      </c>
      <c r="F502" s="11" t="s">
        <v>6</v>
      </c>
      <c r="G502" s="12" t="s">
        <v>7</v>
      </c>
    </row>
    <row r="503" spans="1:11" hidden="1" x14ac:dyDescent="0.3">
      <c r="A503" s="26" t="s">
        <v>279</v>
      </c>
      <c r="B503" s="27"/>
      <c r="C503" s="42">
        <v>1</v>
      </c>
      <c r="D503" s="42">
        <v>1</v>
      </c>
      <c r="E503" s="64">
        <v>0</v>
      </c>
      <c r="F503" s="44" cm="1">
        <f t="array" ref="F503">_xlfn.XLOOKUP($J$2&amp;$J$4&amp;$J$5,LISTS!$D$14:$D$28&amp;LISTS!$C$14:$C$28&amp;LISTS!$B$14:$B$28,LISTS!$E$14:$E$28)</f>
        <v>340</v>
      </c>
      <c r="G503" s="32">
        <f>+C503*D503*E503*F503</f>
        <v>0</v>
      </c>
      <c r="J503" s="122" t="e">
        <f>MROUND(SUM(#REF!,#REF!,#REF!,#REF!,#REF!),0.25)</f>
        <v>#REF!</v>
      </c>
      <c r="K503" t="s">
        <v>283</v>
      </c>
    </row>
    <row r="504" spans="1:11" ht="15" hidden="1" thickBot="1" x14ac:dyDescent="0.35">
      <c r="A504" s="14" t="s">
        <v>280</v>
      </c>
      <c r="B504" s="15"/>
      <c r="C504" s="58">
        <v>1</v>
      </c>
      <c r="D504" s="58">
        <v>1</v>
      </c>
      <c r="E504" s="65">
        <v>0</v>
      </c>
      <c r="F504" s="59">
        <f>IF(J467="Fire - Liberty Mutual/State Auto",100,_xlfn.XLOOKUP($J$4,LISTS!$B$32:$B$33,LISTS!$C$32:$C$33))</f>
        <v>185</v>
      </c>
      <c r="G504" s="60">
        <f>+C504*D504*E504*F504</f>
        <v>0</v>
      </c>
      <c r="J504" s="122" t="e">
        <f>MROUND(SUM(#REF!,#REF!,#REF!,#REF!,#REF!,#REF!,#REF!,#REF!),0.25)</f>
        <v>#REF!</v>
      </c>
      <c r="K504" t="s">
        <v>284</v>
      </c>
    </row>
    <row r="505" spans="1:11" hidden="1" x14ac:dyDescent="0.3">
      <c r="B505" s="27"/>
      <c r="C505" s="182"/>
      <c r="D505" s="182"/>
      <c r="E505" s="63"/>
      <c r="F505" s="38"/>
      <c r="G505" s="61" cm="1">
        <f t="array" ref="G505">SUM(IFERROR(G503:G504,0))</f>
        <v>0</v>
      </c>
    </row>
    <row r="506" spans="1:11" ht="15" hidden="1" thickBot="1" x14ac:dyDescent="0.35">
      <c r="A506" s="273" t="str">
        <f>"Site Address: " &amp; 'PROJECT SUMMARY (Old)'!C115 &amp; " - " &amp; 'PROJECT SUMMARY (Old)'!D115</f>
        <v xml:space="preserve">Site Address:  - </v>
      </c>
      <c r="B506" s="273"/>
      <c r="C506" s="273"/>
      <c r="D506" s="273"/>
      <c r="E506" s="273"/>
      <c r="F506" s="273"/>
      <c r="G506" s="273"/>
      <c r="K506" s="86"/>
    </row>
    <row r="507" spans="1:11" hidden="1" x14ac:dyDescent="0.3">
      <c r="A507" s="40" t="s">
        <v>22</v>
      </c>
      <c r="B507" s="41"/>
      <c r="C507" s="11" t="s">
        <v>16</v>
      </c>
      <c r="D507" s="11" t="s">
        <v>4</v>
      </c>
      <c r="E507" s="11" t="s">
        <v>17</v>
      </c>
      <c r="F507" s="11" t="s">
        <v>6</v>
      </c>
      <c r="G507" s="12" t="s">
        <v>7</v>
      </c>
    </row>
    <row r="508" spans="1:11" hidden="1" x14ac:dyDescent="0.3">
      <c r="A508" s="26" t="s">
        <v>279</v>
      </c>
      <c r="B508" s="27"/>
      <c r="C508" s="42">
        <v>1</v>
      </c>
      <c r="D508" s="42">
        <v>1</v>
      </c>
      <c r="E508" s="64">
        <v>0</v>
      </c>
      <c r="F508" s="44" cm="1">
        <f t="array" ref="F508">_xlfn.XLOOKUP($J$2&amp;$J$4&amp;$J$5,LISTS!$D$14:$D$28&amp;LISTS!$C$14:$C$28&amp;LISTS!$B$14:$B$28,LISTS!$E$14:$E$28)</f>
        <v>340</v>
      </c>
      <c r="G508" s="32">
        <f>+C508*D508*E508*F508</f>
        <v>0</v>
      </c>
      <c r="J508" s="122" t="e">
        <f>MROUND(SUM(#REF!,#REF!,#REF!,#REF!,#REF!),0.25)</f>
        <v>#REF!</v>
      </c>
      <c r="K508" t="s">
        <v>283</v>
      </c>
    </row>
    <row r="509" spans="1:11" ht="15" hidden="1" thickBot="1" x14ac:dyDescent="0.35">
      <c r="A509" s="14" t="s">
        <v>280</v>
      </c>
      <c r="B509" s="15"/>
      <c r="C509" s="58">
        <v>1</v>
      </c>
      <c r="D509" s="58">
        <v>1</v>
      </c>
      <c r="E509" s="65">
        <v>0</v>
      </c>
      <c r="F509" s="59">
        <f>IF(J472="Fire - Liberty Mutual/State Auto",100,_xlfn.XLOOKUP($J$4,LISTS!$B$32:$B$33,LISTS!$C$32:$C$33))</f>
        <v>185</v>
      </c>
      <c r="G509" s="60">
        <f>+C509*D509*E509*F509</f>
        <v>0</v>
      </c>
      <c r="J509" s="122" t="e">
        <f>MROUND(SUM(#REF!,#REF!,#REF!,#REF!,#REF!,#REF!,#REF!,#REF!),0.25)</f>
        <v>#REF!</v>
      </c>
      <c r="K509" t="s">
        <v>284</v>
      </c>
    </row>
    <row r="510" spans="1:11" hidden="1" x14ac:dyDescent="0.3">
      <c r="A510" s="27"/>
      <c r="B510" s="27"/>
      <c r="C510" s="182"/>
      <c r="D510" s="182"/>
      <c r="E510" s="63"/>
      <c r="F510" s="38"/>
      <c r="G510" s="61" cm="1">
        <f t="array" ref="G510">SUM(IFERROR(G508:G509,0))</f>
        <v>0</v>
      </c>
    </row>
    <row r="511" spans="1:11" ht="15" hidden="1" thickBot="1" x14ac:dyDescent="0.35">
      <c r="A511" s="273" t="str">
        <f>"Site Address: " &amp; 'PROJECT SUMMARY (Old)'!C116 &amp; " - " &amp; 'PROJECT SUMMARY (Old)'!D116</f>
        <v xml:space="preserve">Site Address:  - </v>
      </c>
      <c r="B511" s="273"/>
      <c r="C511" s="273"/>
      <c r="D511" s="273"/>
      <c r="E511" s="273"/>
      <c r="F511" s="273"/>
      <c r="G511" s="273"/>
      <c r="K511" s="86"/>
    </row>
    <row r="512" spans="1:11" hidden="1" x14ac:dyDescent="0.3">
      <c r="A512" s="40" t="s">
        <v>22</v>
      </c>
      <c r="B512" s="41"/>
      <c r="C512" s="11" t="s">
        <v>16</v>
      </c>
      <c r="D512" s="11" t="s">
        <v>4</v>
      </c>
      <c r="E512" s="11" t="s">
        <v>17</v>
      </c>
      <c r="F512" s="11" t="s">
        <v>6</v>
      </c>
      <c r="G512" s="12" t="s">
        <v>7</v>
      </c>
    </row>
    <row r="513" spans="1:11" hidden="1" x14ac:dyDescent="0.3">
      <c r="A513" s="26" t="s">
        <v>279</v>
      </c>
      <c r="B513" s="27"/>
      <c r="C513" s="42">
        <v>1</v>
      </c>
      <c r="D513" s="42">
        <v>1</v>
      </c>
      <c r="E513" s="64">
        <v>0</v>
      </c>
      <c r="F513" s="44" cm="1">
        <f t="array" ref="F513">_xlfn.XLOOKUP($J$2&amp;$J$4&amp;$J$5,LISTS!$D$14:$D$28&amp;LISTS!$C$14:$C$28&amp;LISTS!$B$14:$B$28,LISTS!$E$14:$E$28)</f>
        <v>340</v>
      </c>
      <c r="G513" s="32">
        <f>+C513*D513*E513*F513</f>
        <v>0</v>
      </c>
      <c r="J513" s="122" t="e">
        <f>MROUND(SUM(#REF!,#REF!,#REF!,#REF!,#REF!),0.25)</f>
        <v>#REF!</v>
      </c>
      <c r="K513" t="s">
        <v>283</v>
      </c>
    </row>
    <row r="514" spans="1:11" ht="15" hidden="1" thickBot="1" x14ac:dyDescent="0.35">
      <c r="A514" s="14" t="s">
        <v>280</v>
      </c>
      <c r="B514" s="15"/>
      <c r="C514" s="58">
        <v>1</v>
      </c>
      <c r="D514" s="58">
        <v>1</v>
      </c>
      <c r="E514" s="65">
        <v>0</v>
      </c>
      <c r="F514" s="59">
        <f>IF(J477="Fire - Liberty Mutual/State Auto",100,_xlfn.XLOOKUP($J$4,LISTS!$B$32:$B$33,LISTS!$C$32:$C$33))</f>
        <v>185</v>
      </c>
      <c r="G514" s="60">
        <f>+C514*D514*E514*F514</f>
        <v>0</v>
      </c>
      <c r="J514" s="122" t="e">
        <f>MROUND(SUM(#REF!,#REF!,#REF!,#REF!,#REF!,#REF!,#REF!,#REF!),0.25)</f>
        <v>#REF!</v>
      </c>
      <c r="K514" t="s">
        <v>284</v>
      </c>
    </row>
    <row r="515" spans="1:11" hidden="1" x14ac:dyDescent="0.3">
      <c r="A515" s="27"/>
      <c r="B515" s="27"/>
      <c r="C515" s="182"/>
      <c r="D515" s="182"/>
      <c r="E515" s="63"/>
      <c r="F515" s="38"/>
      <c r="G515" s="61" cm="1">
        <f t="array" ref="G515">SUM(IFERROR(G513:G514,0))</f>
        <v>0</v>
      </c>
    </row>
    <row r="516" spans="1:11" ht="15" hidden="1" thickBot="1" x14ac:dyDescent="0.35">
      <c r="A516" s="273" t="str">
        <f>"Site Address: " &amp; 'PROJECT SUMMARY (Old)'!C117 &amp; " - " &amp; 'PROJECT SUMMARY (Old)'!D117</f>
        <v xml:space="preserve">Site Address:  - </v>
      </c>
      <c r="B516" s="273"/>
      <c r="C516" s="273"/>
      <c r="D516" s="273"/>
      <c r="E516" s="273"/>
      <c r="F516" s="273"/>
      <c r="G516" s="273"/>
      <c r="K516" s="86"/>
    </row>
    <row r="517" spans="1:11" hidden="1" x14ac:dyDescent="0.3">
      <c r="A517" s="40" t="s">
        <v>22</v>
      </c>
      <c r="B517" s="41"/>
      <c r="C517" s="11" t="s">
        <v>16</v>
      </c>
      <c r="D517" s="11" t="s">
        <v>4</v>
      </c>
      <c r="E517" s="11" t="s">
        <v>17</v>
      </c>
      <c r="F517" s="11" t="s">
        <v>6</v>
      </c>
      <c r="G517" s="12" t="s">
        <v>7</v>
      </c>
    </row>
    <row r="518" spans="1:11" hidden="1" x14ac:dyDescent="0.3">
      <c r="A518" s="26" t="s">
        <v>279</v>
      </c>
      <c r="B518" s="27"/>
      <c r="C518" s="42">
        <v>1</v>
      </c>
      <c r="D518" s="42">
        <v>1</v>
      </c>
      <c r="E518" s="64">
        <v>0</v>
      </c>
      <c r="F518" s="44" cm="1">
        <f t="array" ref="F518">_xlfn.XLOOKUP($J$2&amp;$J$4&amp;$J$5,LISTS!$D$14:$D$28&amp;LISTS!$C$14:$C$28&amp;LISTS!$B$14:$B$28,LISTS!$E$14:$E$28)</f>
        <v>340</v>
      </c>
      <c r="G518" s="32">
        <f>+C518*D518*E518*F518</f>
        <v>0</v>
      </c>
      <c r="J518" s="122" t="e">
        <f>MROUND(SUM(#REF!,#REF!,#REF!,#REF!,#REF!),0.25)</f>
        <v>#REF!</v>
      </c>
      <c r="K518" t="s">
        <v>283</v>
      </c>
    </row>
    <row r="519" spans="1:11" ht="15" hidden="1" thickBot="1" x14ac:dyDescent="0.35">
      <c r="A519" s="14" t="s">
        <v>280</v>
      </c>
      <c r="B519" s="15"/>
      <c r="C519" s="58">
        <v>1</v>
      </c>
      <c r="D519" s="58">
        <v>1</v>
      </c>
      <c r="E519" s="65">
        <v>0</v>
      </c>
      <c r="F519" s="59">
        <f>IF(J482="Fire - Liberty Mutual/State Auto",100,_xlfn.XLOOKUP($J$4,LISTS!$B$32:$B$33,LISTS!$C$32:$C$33))</f>
        <v>185</v>
      </c>
      <c r="G519" s="60">
        <f>+C519*D519*E519*F519</f>
        <v>0</v>
      </c>
      <c r="J519" s="122" t="e">
        <f>MROUND(SUM(#REF!,#REF!,#REF!,#REF!,#REF!,#REF!,#REF!,#REF!),0.25)</f>
        <v>#REF!</v>
      </c>
      <c r="K519" t="s">
        <v>284</v>
      </c>
    </row>
    <row r="520" spans="1:11" hidden="1" x14ac:dyDescent="0.3">
      <c r="A520" s="27"/>
      <c r="B520" s="27"/>
      <c r="C520" s="182"/>
      <c r="D520" s="182"/>
      <c r="E520" s="63"/>
      <c r="F520" s="38"/>
      <c r="G520" s="61" cm="1">
        <f t="array" ref="G520">SUM(IFERROR(G518:G519,0))</f>
        <v>0</v>
      </c>
    </row>
    <row r="521" spans="1:11" ht="15" hidden="1" thickBot="1" x14ac:dyDescent="0.35">
      <c r="A521" s="273" t="str">
        <f>"Site Address: " &amp; 'PROJECT SUMMARY (Old)'!C118 &amp; " - " &amp; 'PROJECT SUMMARY (Old)'!D118</f>
        <v xml:space="preserve">Site Address:  - </v>
      </c>
      <c r="B521" s="273"/>
      <c r="C521" s="273"/>
      <c r="D521" s="273"/>
      <c r="E521" s="273"/>
      <c r="F521" s="273"/>
      <c r="G521" s="273"/>
      <c r="K521" s="86"/>
    </row>
    <row r="522" spans="1:11" hidden="1" x14ac:dyDescent="0.3">
      <c r="A522" s="40" t="s">
        <v>22</v>
      </c>
      <c r="B522" s="41"/>
      <c r="C522" s="11" t="s">
        <v>16</v>
      </c>
      <c r="D522" s="11" t="s">
        <v>4</v>
      </c>
      <c r="E522" s="11" t="s">
        <v>17</v>
      </c>
      <c r="F522" s="11" t="s">
        <v>6</v>
      </c>
      <c r="G522" s="12" t="s">
        <v>7</v>
      </c>
    </row>
    <row r="523" spans="1:11" hidden="1" x14ac:dyDescent="0.3">
      <c r="A523" s="26" t="s">
        <v>279</v>
      </c>
      <c r="B523" s="27"/>
      <c r="C523" s="42">
        <v>1</v>
      </c>
      <c r="D523" s="42">
        <v>1</v>
      </c>
      <c r="E523" s="64">
        <v>0</v>
      </c>
      <c r="F523" s="44" cm="1">
        <f t="array" ref="F523">_xlfn.XLOOKUP($J$2&amp;$J$4&amp;$J$5,LISTS!$D$14:$D$28&amp;LISTS!$C$14:$C$28&amp;LISTS!$B$14:$B$28,LISTS!$E$14:$E$28)</f>
        <v>340</v>
      </c>
      <c r="G523" s="32">
        <f>+C523*D523*E523*F523</f>
        <v>0</v>
      </c>
      <c r="J523" s="122" t="e">
        <f>MROUND(SUM(#REF!,#REF!,#REF!,#REF!,#REF!),0.25)</f>
        <v>#REF!</v>
      </c>
      <c r="K523" t="s">
        <v>283</v>
      </c>
    </row>
    <row r="524" spans="1:11" ht="15" hidden="1" thickBot="1" x14ac:dyDescent="0.35">
      <c r="A524" s="14" t="s">
        <v>280</v>
      </c>
      <c r="B524" s="15"/>
      <c r="C524" s="58">
        <v>1</v>
      </c>
      <c r="D524" s="58">
        <v>1</v>
      </c>
      <c r="E524" s="65">
        <v>0</v>
      </c>
      <c r="F524" s="59">
        <f>IF(J487="Fire - Liberty Mutual/State Auto",100,_xlfn.XLOOKUP($J$4,LISTS!$B$32:$B$33,LISTS!$C$32:$C$33))</f>
        <v>185</v>
      </c>
      <c r="G524" s="60">
        <f>+C524*D524*E524*F524</f>
        <v>0</v>
      </c>
      <c r="J524" s="122" t="e">
        <f>MROUND(SUM(#REF!,#REF!,#REF!,#REF!,#REF!,#REF!,#REF!,#REF!),0.25)</f>
        <v>#REF!</v>
      </c>
      <c r="K524" t="s">
        <v>284</v>
      </c>
    </row>
    <row r="525" spans="1:11" hidden="1" x14ac:dyDescent="0.3">
      <c r="A525" s="27"/>
      <c r="B525" s="27"/>
      <c r="C525" s="182"/>
      <c r="D525" s="182"/>
      <c r="E525" s="63"/>
      <c r="F525" s="38"/>
      <c r="G525" s="61" cm="1">
        <f t="array" ref="G525">SUM(IFERROR(G523:G524,0))</f>
        <v>0</v>
      </c>
    </row>
    <row r="526" spans="1:11" ht="15" hidden="1" thickBot="1" x14ac:dyDescent="0.35">
      <c r="A526" s="273" t="str">
        <f>"Site Address: " &amp; 'PROJECT SUMMARY (Old)'!C119 &amp; " - " &amp; 'PROJECT SUMMARY (Old)'!D119</f>
        <v xml:space="preserve">Site Address:  - </v>
      </c>
      <c r="B526" s="273"/>
      <c r="C526" s="273"/>
      <c r="D526" s="273"/>
      <c r="E526" s="273"/>
      <c r="F526" s="273"/>
      <c r="G526" s="273"/>
      <c r="K526" s="86"/>
    </row>
    <row r="527" spans="1:11" hidden="1" x14ac:dyDescent="0.3">
      <c r="A527" s="40" t="s">
        <v>22</v>
      </c>
      <c r="B527" s="41"/>
      <c r="C527" s="11" t="s">
        <v>16</v>
      </c>
      <c r="D527" s="11" t="s">
        <v>4</v>
      </c>
      <c r="E527" s="11" t="s">
        <v>17</v>
      </c>
      <c r="F527" s="11" t="s">
        <v>6</v>
      </c>
      <c r="G527" s="12" t="s">
        <v>7</v>
      </c>
    </row>
    <row r="528" spans="1:11" hidden="1" x14ac:dyDescent="0.3">
      <c r="A528" s="26" t="s">
        <v>279</v>
      </c>
      <c r="B528" s="27"/>
      <c r="C528" s="42">
        <v>1</v>
      </c>
      <c r="D528" s="42">
        <v>1</v>
      </c>
      <c r="E528" s="64">
        <v>0</v>
      </c>
      <c r="F528" s="44" cm="1">
        <f t="array" ref="F528">_xlfn.XLOOKUP($J$2&amp;$J$4&amp;$J$5,LISTS!$D$14:$D$28&amp;LISTS!$C$14:$C$28&amp;LISTS!$B$14:$B$28,LISTS!$E$14:$E$28)</f>
        <v>340</v>
      </c>
      <c r="G528" s="32">
        <f>+C528*D528*E528*F528</f>
        <v>0</v>
      </c>
      <c r="J528" s="122" t="e">
        <f>MROUND(SUM(#REF!,#REF!,#REF!,#REF!,#REF!),0.25)</f>
        <v>#REF!</v>
      </c>
      <c r="K528" t="s">
        <v>283</v>
      </c>
    </row>
    <row r="529" spans="1:17" ht="15" hidden="1" thickBot="1" x14ac:dyDescent="0.35">
      <c r="A529" s="14" t="s">
        <v>280</v>
      </c>
      <c r="B529" s="15"/>
      <c r="C529" s="58">
        <v>1</v>
      </c>
      <c r="D529" s="58">
        <v>1</v>
      </c>
      <c r="E529" s="65">
        <v>0</v>
      </c>
      <c r="F529" s="59">
        <f>IF(J492="Fire - Liberty Mutual/State Auto",100,_xlfn.XLOOKUP($J$4,LISTS!$B$32:$B$33,LISTS!$C$32:$C$33))</f>
        <v>185</v>
      </c>
      <c r="G529" s="60">
        <f>+C529*D529*E529*F529</f>
        <v>0</v>
      </c>
      <c r="J529" s="122" t="e">
        <f>MROUND(SUM(#REF!,#REF!,#REF!,#REF!,#REF!,#REF!,#REF!,#REF!),0.25)</f>
        <v>#REF!</v>
      </c>
      <c r="K529" t="s">
        <v>284</v>
      </c>
    </row>
    <row r="530" spans="1:17" hidden="1" x14ac:dyDescent="0.3">
      <c r="A530" s="27"/>
      <c r="B530" s="27"/>
      <c r="C530" s="182"/>
      <c r="D530" s="182"/>
      <c r="E530" s="63"/>
      <c r="F530" s="38"/>
      <c r="G530" s="61" cm="1">
        <f t="array" ref="G530">SUM(IFERROR(G528:G529,0))</f>
        <v>0</v>
      </c>
    </row>
    <row r="531" spans="1:17" ht="15" thickBot="1" x14ac:dyDescent="0.35">
      <c r="A531" s="27"/>
      <c r="B531" s="27"/>
      <c r="C531" s="28"/>
      <c r="D531" s="28"/>
      <c r="E531" s="28"/>
      <c r="F531" s="38"/>
      <c r="G531" s="61"/>
      <c r="J531" s="142"/>
      <c r="N531" s="6"/>
      <c r="P531" s="101"/>
    </row>
    <row r="532" spans="1:17" x14ac:dyDescent="0.3">
      <c r="A532" s="40" t="s">
        <v>466</v>
      </c>
      <c r="B532" s="41"/>
      <c r="C532" s="67"/>
      <c r="D532" s="68"/>
      <c r="E532" s="11" t="s">
        <v>23</v>
      </c>
      <c r="F532" s="11" t="s">
        <v>6</v>
      </c>
      <c r="G532" s="12" t="s">
        <v>7</v>
      </c>
      <c r="J532" s="121">
        <f>SUM(J534:J537)</f>
        <v>0</v>
      </c>
      <c r="K532" s="115" t="s">
        <v>160</v>
      </c>
      <c r="N532" s="6"/>
      <c r="P532" s="101"/>
    </row>
    <row r="533" spans="1:17" x14ac:dyDescent="0.3">
      <c r="A533" s="26" t="s">
        <v>24</v>
      </c>
      <c r="B533" s="27"/>
      <c r="C533" s="28"/>
      <c r="D533" s="55"/>
      <c r="E533" s="43">
        <v>0</v>
      </c>
      <c r="F533" s="44">
        <f>IF(J2="Fire - Liberty Mutual/State Auto",0,_xlfn.XLOOKUP($J$4,LISTS!$B$32:$B$33,LISTS!$C$32:$C$33))</f>
        <v>185</v>
      </c>
      <c r="G533" s="32">
        <f t="shared" ref="G533:G538" si="1">+E533*F533</f>
        <v>0</v>
      </c>
      <c r="I533" s="66"/>
      <c r="J533" s="119">
        <f>MROUND(_xlfn.XLOOKUP($J$3,DATA!$B$67:$B$83,DATA!$E$67:$E$83),0.25)</f>
        <v>0</v>
      </c>
      <c r="K533" t="s">
        <v>61</v>
      </c>
      <c r="L533" s="98"/>
      <c r="M533" s="66"/>
      <c r="N533" s="6"/>
      <c r="P533" s="101"/>
      <c r="Q533" s="130"/>
    </row>
    <row r="534" spans="1:17" x14ac:dyDescent="0.3">
      <c r="A534" s="26" t="s">
        <v>25</v>
      </c>
      <c r="B534" s="27"/>
      <c r="C534" s="28"/>
      <c r="D534" s="55"/>
      <c r="E534" s="43">
        <v>0</v>
      </c>
      <c r="F534" s="44" cm="1">
        <f t="array" ref="F534">_xlfn.XLOOKUP($J$2&amp;$J$4&amp;$J$5,LISTS!$D$14:$D$28&amp;LISTS!$C$14:$C$28&amp;LISTS!$B$14:$B$28,LISTS!$E$14:$E$28)</f>
        <v>340</v>
      </c>
      <c r="G534" s="32">
        <f t="shared" si="1"/>
        <v>0</v>
      </c>
      <c r="J534" s="119">
        <f>MROUND(_xlfn.XLOOKUP($J$3,DATA!$B$67:$B$83,DATA!$E$67:$E$83),0.25)</f>
        <v>0</v>
      </c>
      <c r="K534" t="s">
        <v>62</v>
      </c>
      <c r="L534" s="98"/>
      <c r="M534" s="66"/>
      <c r="N534" s="6"/>
      <c r="P534" s="101"/>
      <c r="Q534" s="130"/>
    </row>
    <row r="535" spans="1:17" x14ac:dyDescent="0.3">
      <c r="A535" s="26" t="s">
        <v>26</v>
      </c>
      <c r="B535" s="27"/>
      <c r="C535" s="28"/>
      <c r="D535" s="55"/>
      <c r="E535" s="43">
        <v>0</v>
      </c>
      <c r="F535" s="44" cm="1">
        <f t="array" ref="F535">_xlfn.XLOOKUP($J$2&amp;$J$4&amp;$J$5,LISTS!$D$14:$D$28&amp;LISTS!$C$14:$C$28&amp;LISTS!$B$14:$B$28,LISTS!$E$14:$E$28)</f>
        <v>340</v>
      </c>
      <c r="G535" s="32">
        <f t="shared" si="1"/>
        <v>0</v>
      </c>
      <c r="I535" s="108">
        <f>0.25*$E$541</f>
        <v>0</v>
      </c>
      <c r="J535" s="119">
        <f>0.05*$E$541</f>
        <v>0</v>
      </c>
      <c r="K535" t="s">
        <v>148</v>
      </c>
      <c r="L535" s="95"/>
      <c r="M535" s="66"/>
      <c r="N535" s="6"/>
      <c r="P535" s="101"/>
    </row>
    <row r="536" spans="1:17" x14ac:dyDescent="0.3">
      <c r="A536" s="26" t="s">
        <v>469</v>
      </c>
      <c r="B536" s="27"/>
      <c r="C536" s="28"/>
      <c r="D536" s="55"/>
      <c r="E536" s="43">
        <v>0</v>
      </c>
      <c r="F536" s="44" cm="1">
        <f t="array" ref="F536">_xlfn.XLOOKUP($J$2&amp;$J$4&amp;$J$5,LISTS!$D$14:$D$28&amp;LISTS!$C$14:$C$28&amp;LISTS!$B$14:$B$28,LISTS!$E$14:$E$28)</f>
        <v>340</v>
      </c>
      <c r="G536" s="32">
        <f t="shared" si="1"/>
        <v>0</v>
      </c>
      <c r="J536" s="119">
        <f>MROUND('MATERIALS PROVIDED'!$B$103*0.01,0.25)</f>
        <v>0</v>
      </c>
      <c r="K536" t="s">
        <v>469</v>
      </c>
      <c r="L536" s="95"/>
      <c r="N536" s="6"/>
      <c r="P536" s="101"/>
    </row>
    <row r="537" spans="1:17" x14ac:dyDescent="0.3">
      <c r="A537" s="26" t="s">
        <v>281</v>
      </c>
      <c r="B537" s="27"/>
      <c r="C537" s="28"/>
      <c r="D537" s="55"/>
      <c r="E537" s="43">
        <v>0</v>
      </c>
      <c r="F537" s="44" cm="1">
        <f t="array" ref="F537">_xlfn.XLOOKUP($J$2&amp;$J$4&amp;$J$5,LISTS!$D$14:$D$28&amp;LISTS!$C$14:$C$28&amp;LISTS!$B$14:$B$28,LISTS!$E$14:$E$28)</f>
        <v>340</v>
      </c>
      <c r="G537" s="32">
        <f t="shared" si="1"/>
        <v>0</v>
      </c>
      <c r="J537" s="119">
        <f>MROUND(_xlfn.XLOOKUP($J$3,DATA!$B$67:$B$83,DATA!$F$67:$F$83),0.25)</f>
        <v>0</v>
      </c>
      <c r="K537" t="s">
        <v>281</v>
      </c>
      <c r="L537" s="95"/>
      <c r="N537" s="6"/>
      <c r="P537" s="101"/>
    </row>
    <row r="538" spans="1:17" x14ac:dyDescent="0.3">
      <c r="A538" s="69" t="s">
        <v>28</v>
      </c>
      <c r="B538" s="70"/>
      <c r="C538" s="71"/>
      <c r="D538" s="72"/>
      <c r="E538" s="43">
        <v>0</v>
      </c>
      <c r="F538" s="44" cm="1">
        <f t="array" ref="F538">_xlfn.XLOOKUP($J$2&amp;$J$4&amp;$J$5,LISTS!$D$14:$D$28&amp;LISTS!$C$14:$C$28&amp;LISTS!$B$14:$B$28,LISTS!$G$14:$G$28)</f>
        <v>340</v>
      </c>
      <c r="G538" s="32">
        <f t="shared" si="1"/>
        <v>0</v>
      </c>
      <c r="J538" s="122">
        <f>MROUND(0.075*$E$541,0.25)</f>
        <v>0</v>
      </c>
      <c r="K538" t="s">
        <v>149</v>
      </c>
      <c r="N538" s="6"/>
      <c r="P538" s="101"/>
    </row>
    <row r="539" spans="1:17" x14ac:dyDescent="0.3">
      <c r="A539" s="73"/>
      <c r="B539" s="8"/>
      <c r="C539" s="28"/>
      <c r="D539" s="55"/>
      <c r="E539" s="47" t="s">
        <v>29</v>
      </c>
      <c r="F539" s="47" t="s">
        <v>6</v>
      </c>
      <c r="G539" s="48" t="s">
        <v>7</v>
      </c>
      <c r="J539" s="142" t="s">
        <v>161</v>
      </c>
      <c r="L539" s="86"/>
      <c r="N539" s="6"/>
      <c r="P539" s="101"/>
    </row>
    <row r="540" spans="1:17" x14ac:dyDescent="0.3">
      <c r="A540" s="26" t="s">
        <v>467</v>
      </c>
      <c r="B540" s="27"/>
      <c r="C540" s="28"/>
      <c r="D540" s="55"/>
      <c r="E540" s="42">
        <v>0</v>
      </c>
      <c r="F540" s="44">
        <v>280</v>
      </c>
      <c r="G540" s="32">
        <f>+E540*F540</f>
        <v>0</v>
      </c>
      <c r="I540" s="66"/>
      <c r="J540" s="145">
        <f>+'PROJECT SUMMARY (Old)'!P9</f>
        <v>0</v>
      </c>
      <c r="K540" t="s">
        <v>206</v>
      </c>
      <c r="L540" s="104"/>
      <c r="N540" s="6"/>
      <c r="P540" s="101"/>
    </row>
    <row r="541" spans="1:17" ht="15" thickBot="1" x14ac:dyDescent="0.35">
      <c r="A541" s="74" t="s">
        <v>468</v>
      </c>
      <c r="B541" s="75"/>
      <c r="C541" s="76"/>
      <c r="D541" s="77"/>
      <c r="E541" s="78">
        <v>0</v>
      </c>
      <c r="F541" s="79" cm="1">
        <f t="array" ref="F541">_xlfn.XLOOKUP($J$4 &amp; $J$5,LISTS!$C$14:$C$27 &amp; LISTS!$B$14:$B$27,LISTS!$F$14:$F$27)</f>
        <v>195</v>
      </c>
      <c r="G541" s="80">
        <f>+E541*F541</f>
        <v>0</v>
      </c>
      <c r="I541" s="66"/>
      <c r="J541" s="145">
        <f>_xlfn.XLOOKUP($J$3,DATA!$B$67:$B$83,DATA!$G$67:$G$83)+J536/3</f>
        <v>0</v>
      </c>
      <c r="K541" t="s">
        <v>94</v>
      </c>
      <c r="L541" s="105"/>
    </row>
    <row r="542" spans="1:17" x14ac:dyDescent="0.3">
      <c r="A542" s="1"/>
      <c r="B542" s="27"/>
      <c r="C542" s="28"/>
      <c r="D542" s="28"/>
      <c r="E542" s="28"/>
      <c r="F542" s="38"/>
      <c r="G542" s="61" cm="1">
        <f t="array" ref="G542">SUM(IFERROR(G532:G541,0))</f>
        <v>0</v>
      </c>
      <c r="I542" s="108">
        <f>$E$540*1.5</f>
        <v>0</v>
      </c>
      <c r="L542" s="105"/>
      <c r="P542" s="101"/>
    </row>
    <row r="543" spans="1:17" ht="15" thickBot="1" x14ac:dyDescent="0.35">
      <c r="A543" s="27"/>
      <c r="B543" s="27"/>
      <c r="C543" s="28"/>
      <c r="D543" s="28"/>
      <c r="E543" s="28"/>
      <c r="F543" s="38"/>
      <c r="G543" s="61"/>
      <c r="K543" s="66"/>
      <c r="L543" s="105"/>
      <c r="P543" s="101"/>
    </row>
    <row r="544" spans="1:17" ht="15" thickBot="1" x14ac:dyDescent="0.35">
      <c r="A544" s="81" t="s">
        <v>31</v>
      </c>
      <c r="B544" s="82"/>
      <c r="C544" s="83"/>
      <c r="D544" s="83"/>
      <c r="E544" s="84"/>
      <c r="F544" s="84"/>
      <c r="G544" s="85"/>
      <c r="K544" s="40" t="s">
        <v>31</v>
      </c>
      <c r="L544" s="41"/>
      <c r="M544" s="67"/>
      <c r="N544" s="68"/>
      <c r="O544" s="157" t="s">
        <v>32</v>
      </c>
      <c r="P544" s="157" t="s">
        <v>6</v>
      </c>
      <c r="Q544" s="158" t="s">
        <v>7</v>
      </c>
    </row>
    <row r="545" spans="1:18" x14ac:dyDescent="0.3">
      <c r="A545" s="87"/>
      <c r="B545" s="8"/>
      <c r="C545" s="62"/>
      <c r="D545" s="88"/>
      <c r="E545" s="56" t="s">
        <v>32</v>
      </c>
      <c r="F545" s="56" t="s">
        <v>6</v>
      </c>
      <c r="G545" s="57" t="s">
        <v>7</v>
      </c>
      <c r="K545" s="26" t="s">
        <v>273</v>
      </c>
      <c r="L545" s="50"/>
      <c r="M545" s="89"/>
      <c r="N545" s="90"/>
      <c r="O545" s="159"/>
      <c r="P545" s="160">
        <v>1200</v>
      </c>
      <c r="Q545" s="161">
        <f>O545*P545</f>
        <v>0</v>
      </c>
    </row>
    <row r="546" spans="1:18" x14ac:dyDescent="0.3">
      <c r="A546" s="49" t="s">
        <v>91</v>
      </c>
      <c r="B546" s="50"/>
      <c r="C546" s="89"/>
      <c r="D546" s="90"/>
      <c r="E546" s="91">
        <v>0</v>
      </c>
      <c r="F546" s="92">
        <v>0</v>
      </c>
      <c r="G546" s="31">
        <f>+E546*F546</f>
        <v>0</v>
      </c>
      <c r="K546" s="73"/>
      <c r="L546" s="8"/>
      <c r="M546" s="28"/>
      <c r="N546" s="55"/>
      <c r="O546" s="162" t="s">
        <v>33</v>
      </c>
      <c r="P546" s="162" t="s">
        <v>6</v>
      </c>
      <c r="Q546" s="163" t="s">
        <v>7</v>
      </c>
    </row>
    <row r="547" spans="1:18" ht="15" thickBot="1" x14ac:dyDescent="0.35">
      <c r="A547" s="26"/>
      <c r="B547" s="27"/>
      <c r="C547" s="28"/>
      <c r="D547" s="55"/>
      <c r="E547" s="56" t="s">
        <v>33</v>
      </c>
      <c r="F547" s="56" t="s">
        <v>6</v>
      </c>
      <c r="G547" s="57" t="s">
        <v>7</v>
      </c>
      <c r="K547" s="14" t="s">
        <v>274</v>
      </c>
      <c r="L547" s="15"/>
      <c r="M547" s="33"/>
      <c r="N547" s="16"/>
      <c r="O547" s="164"/>
      <c r="P547" s="165">
        <v>150</v>
      </c>
      <c r="Q547" s="166">
        <f>O547*P547</f>
        <v>0</v>
      </c>
      <c r="R547" s="144" t="s">
        <v>275</v>
      </c>
    </row>
    <row r="548" spans="1:18" x14ac:dyDescent="0.3">
      <c r="A548" s="49" t="s">
        <v>91</v>
      </c>
      <c r="B548" s="50"/>
      <c r="C548" s="89"/>
      <c r="D548" s="90"/>
      <c r="E548" s="52">
        <v>0</v>
      </c>
      <c r="F548" s="53">
        <v>0</v>
      </c>
      <c r="G548" s="54">
        <f>+E548*F548</f>
        <v>0</v>
      </c>
      <c r="K548" s="73"/>
      <c r="L548" s="8"/>
      <c r="M548" s="28"/>
      <c r="N548" s="55"/>
      <c r="O548" s="162" t="s">
        <v>33</v>
      </c>
      <c r="P548" s="162" t="s">
        <v>6</v>
      </c>
      <c r="Q548" s="163" t="s">
        <v>7</v>
      </c>
    </row>
    <row r="549" spans="1:18" ht="15" thickBot="1" x14ac:dyDescent="0.35">
      <c r="A549" s="26"/>
      <c r="B549" s="27"/>
      <c r="C549" s="28"/>
      <c r="D549" s="55"/>
      <c r="E549" s="56" t="s">
        <v>33</v>
      </c>
      <c r="F549" s="56" t="s">
        <v>6</v>
      </c>
      <c r="G549" s="57" t="s">
        <v>7</v>
      </c>
      <c r="K549" s="14" t="s">
        <v>274</v>
      </c>
      <c r="L549" s="15"/>
      <c r="M549" s="33"/>
      <c r="N549" s="16"/>
      <c r="O549" s="164"/>
      <c r="P549" s="165">
        <v>750</v>
      </c>
      <c r="Q549" s="166">
        <f>O549*P549</f>
        <v>0</v>
      </c>
      <c r="R549" s="144" t="s">
        <v>276</v>
      </c>
    </row>
    <row r="550" spans="1:18" ht="15" thickBot="1" x14ac:dyDescent="0.35">
      <c r="A550" s="14" t="s">
        <v>91</v>
      </c>
      <c r="B550" s="15"/>
      <c r="C550" s="33"/>
      <c r="D550" s="16"/>
      <c r="E550" s="58">
        <v>0</v>
      </c>
      <c r="F550" s="59">
        <v>0</v>
      </c>
      <c r="G550" s="60">
        <f>+E550*F550</f>
        <v>0</v>
      </c>
      <c r="K550" s="2" t="s">
        <v>34</v>
      </c>
      <c r="L550" s="167"/>
      <c r="M550" s="29"/>
      <c r="N550" s="29"/>
      <c r="O550" s="29"/>
      <c r="P550" s="168"/>
      <c r="Q550" s="169">
        <f>SUM(Q544:Q549)</f>
        <v>0</v>
      </c>
    </row>
    <row r="551" spans="1:18" x14ac:dyDescent="0.3">
      <c r="A551" s="1" t="s">
        <v>34</v>
      </c>
      <c r="B551" s="27"/>
      <c r="C551" s="28"/>
      <c r="D551" s="28"/>
      <c r="E551" s="28"/>
      <c r="F551" s="38"/>
      <c r="G551" s="61" cm="1">
        <f t="array" ref="G551">SUM(IFERROR(G545:G550,0))</f>
        <v>0</v>
      </c>
    </row>
    <row r="552" spans="1:18" x14ac:dyDescent="0.3">
      <c r="A552" s="19"/>
      <c r="B552" s="19"/>
      <c r="C552" s="19"/>
      <c r="D552" s="19"/>
      <c r="E552" s="19"/>
      <c r="F552" s="38"/>
      <c r="G552" s="1"/>
      <c r="K552" s="66"/>
      <c r="O552" s="95"/>
    </row>
    <row r="553" spans="1:18" ht="17.399999999999999" x14ac:dyDescent="0.3">
      <c r="A553" s="19" t="s">
        <v>35</v>
      </c>
      <c r="B553" s="20"/>
      <c r="C553" s="20"/>
      <c r="D553" s="20"/>
      <c r="E553" s="20"/>
      <c r="F553" s="93" t="s">
        <v>36</v>
      </c>
      <c r="G553" s="94">
        <f>SUM(IFERROR(G17,0),IFERROR(G25,0),IFERROR(G35,0),IFERROR(G542,0),IFERROR(G551,0),IFERROR(G280,0),IFERROR(G275,0),IFERROR(G270,0),IFERROR(G265,0),IFERROR(G260,0),IFERROR(G255,0),IFERROR(G250,0),IFERROR(G245,0),IFERROR(G240,0),IFERROR(G235,0),IFERROR(G230,0),IFERROR(G225,0),IFERROR(G220,0),IFERROR(G215,0),IFERROR(G210,0),IFERROR(G205,0),IFERROR(G200,0),IFERROR(G195,0),IFERROR(G190,0),IFERROR(G185,0),IFERROR(G180,0),IFERROR(G175,0),IFERROR(G170,0),IFERROR(G165,0),IFERROR(G160,0),IFERROR(G155,0),IFERROR(G150,0),IFERROR(G145,0),IFERROR(G140,0),IFERROR(G135,0),IFERROR(G130,0),IFERROR(G125,0),IFERROR(G120,0),IFERROR(G115,0),IFERROR(G110,0),IFERROR(G105,0),IFERROR(G100,0),IFERROR(G95,0),IFERROR(G90,0),IFERROR(G85,0),IFERROR(G80,0),IFERROR(G75,0),IFERROR(G70,0),IFERROR(G65,0),IFERROR(G60,0),IFERROR(G55,0),IFERROR(G50,0),IFERROR(G45,0),IFERROR(G40,0),IFERROR(G285,0),IFERROR(G290,0),IFERROR(G295,0),IFERROR(G300,0),IFERROR(G305,0),IFERROR(G310,0),IFERROR(G315,0),IFERROR(G320,0),IFERROR(G325,0),IFERROR(G330,0),IFERROR(G335,0),IFERROR(G340,0),IFERROR(G345,0),IFERROR(G350,0),IFERROR(G355,0),IFERROR(G360,0),IFERROR(G365,0),IFERROR(G370,0),IFERROR(G375,0),IFERROR(G380,0),IFERROR(G385,0),IFERROR(G390,0),IFERROR(G395,0),IFERROR(G340,0),IFERROR(G345,0),IFERROR(G350,0),IFERROR(G355,0),IFERROR(G360,0),IFERROR(G365,0),IFERROR(G370,0),IFERROR(G375,0),IFERROR(G380,0),IFERROR(G385,0),IFERROR(G390,0),IFERROR(G395,0),IFERROR(G400,0),IFERROR(G405,0),IFERROR(G410,0),IFERROR(G415,0),IFERROR(G420,0),IFERROR(G425,0),IFERROR(G430,0),IFERROR(G435,0),IFERROR(G440,0),IFERROR(G445,0),IFERROR(G450,0),IFERROR(G455,0),IFERROR(G460,0),IFERROR(G465,0),IFERROR(G470,0),IFERROR(G475,0),IFERROR(G480,0),IFERROR(G485,0),IFERROR(G490,0),IFERROR(G495,0),IFERROR(G500,0),IFERROR(G505,0),IFERROR(G510,0),IFERROR(G515,0),IFERROR(G520,0),IFERROR(G525,0),IFERROR(G530,0))</f>
        <v>290</v>
      </c>
    </row>
    <row r="554" spans="1:18" x14ac:dyDescent="0.3">
      <c r="A554" s="19" t="s">
        <v>37</v>
      </c>
      <c r="B554" s="1"/>
      <c r="C554" s="1"/>
      <c r="D554" s="1"/>
      <c r="E554" s="1"/>
      <c r="F554" s="1"/>
      <c r="G554" s="190" t="s">
        <v>463</v>
      </c>
    </row>
    <row r="555" spans="1:18" x14ac:dyDescent="0.3">
      <c r="K555" s="66"/>
      <c r="M555" s="36"/>
      <c r="O555" s="86"/>
    </row>
    <row r="557" spans="1:18" x14ac:dyDescent="0.3">
      <c r="J557" s="96"/>
      <c r="K557" s="66"/>
    </row>
    <row r="558" spans="1:18" x14ac:dyDescent="0.3">
      <c r="K558" s="66"/>
    </row>
    <row r="559" spans="1:18" ht="17.399999999999999" x14ac:dyDescent="0.3">
      <c r="I559" s="97"/>
      <c r="K559" s="66"/>
      <c r="O559" s="86"/>
    </row>
    <row r="560" spans="1:18" x14ac:dyDescent="0.3">
      <c r="K560" s="66"/>
      <c r="O560" s="36"/>
    </row>
    <row r="561" spans="15:16" x14ac:dyDescent="0.3">
      <c r="O561" s="36"/>
    </row>
    <row r="562" spans="15:16" x14ac:dyDescent="0.3">
      <c r="O562" s="36"/>
    </row>
    <row r="563" spans="15:16" x14ac:dyDescent="0.3">
      <c r="O563" s="36"/>
    </row>
    <row r="564" spans="15:16" x14ac:dyDescent="0.3">
      <c r="O564" s="36"/>
    </row>
    <row r="565" spans="15:16" x14ac:dyDescent="0.3">
      <c r="O565" s="36"/>
    </row>
    <row r="566" spans="15:16" x14ac:dyDescent="0.3">
      <c r="O566" s="36"/>
      <c r="P566" s="66"/>
    </row>
    <row r="577" spans="12:16" x14ac:dyDescent="0.3">
      <c r="O577" s="36"/>
    </row>
    <row r="579" spans="12:16" x14ac:dyDescent="0.3">
      <c r="L579" s="66"/>
      <c r="P579" s="86"/>
    </row>
    <row r="580" spans="12:16" x14ac:dyDescent="0.3">
      <c r="P580" s="98"/>
    </row>
    <row r="581" spans="12:16" x14ac:dyDescent="0.3">
      <c r="N581" s="66"/>
    </row>
    <row r="582" spans="12:16" x14ac:dyDescent="0.3">
      <c r="N582" s="66"/>
    </row>
    <row r="586" spans="12:16" ht="18" x14ac:dyDescent="0.35">
      <c r="N586" s="99"/>
      <c r="P586" s="100"/>
    </row>
  </sheetData>
  <sheetProtection selectLockedCells="1"/>
  <mergeCells count="104">
    <mergeCell ref="A506:G506"/>
    <mergeCell ref="A511:G511"/>
    <mergeCell ref="A516:G516"/>
    <mergeCell ref="A521:G521"/>
    <mergeCell ref="A526:G526"/>
    <mergeCell ref="A481:G481"/>
    <mergeCell ref="A486:G486"/>
    <mergeCell ref="A491:G491"/>
    <mergeCell ref="A496:G496"/>
    <mergeCell ref="A501:G501"/>
    <mergeCell ref="A456:G456"/>
    <mergeCell ref="A461:G461"/>
    <mergeCell ref="A466:G466"/>
    <mergeCell ref="A471:G471"/>
    <mergeCell ref="A476:G476"/>
    <mergeCell ref="A431:G431"/>
    <mergeCell ref="A436:G436"/>
    <mergeCell ref="A441:G441"/>
    <mergeCell ref="A446:G446"/>
    <mergeCell ref="A451:G451"/>
    <mergeCell ref="A406:G406"/>
    <mergeCell ref="A411:G411"/>
    <mergeCell ref="A416:G416"/>
    <mergeCell ref="A421:G421"/>
    <mergeCell ref="A426:G426"/>
    <mergeCell ref="A381:G381"/>
    <mergeCell ref="A386:G386"/>
    <mergeCell ref="A391:G391"/>
    <mergeCell ref="A396:G396"/>
    <mergeCell ref="A401:G401"/>
    <mergeCell ref="A356:G356"/>
    <mergeCell ref="A361:G361"/>
    <mergeCell ref="A366:G366"/>
    <mergeCell ref="A371:G371"/>
    <mergeCell ref="A376:G376"/>
    <mergeCell ref="A331:G331"/>
    <mergeCell ref="A336:G336"/>
    <mergeCell ref="A341:G341"/>
    <mergeCell ref="A346:G346"/>
    <mergeCell ref="A351:G351"/>
    <mergeCell ref="A306:G306"/>
    <mergeCell ref="A311:G311"/>
    <mergeCell ref="A316:G316"/>
    <mergeCell ref="A321:G321"/>
    <mergeCell ref="A326:G326"/>
    <mergeCell ref="A281:G281"/>
    <mergeCell ref="A286:G286"/>
    <mergeCell ref="A291:G291"/>
    <mergeCell ref="A296:G296"/>
    <mergeCell ref="A301:G301"/>
    <mergeCell ref="A261:G261"/>
    <mergeCell ref="A266:G266"/>
    <mergeCell ref="A271:G271"/>
    <mergeCell ref="A276:G276"/>
    <mergeCell ref="A236:G236"/>
    <mergeCell ref="A241:G241"/>
    <mergeCell ref="A246:G246"/>
    <mergeCell ref="A251:G251"/>
    <mergeCell ref="A256:G256"/>
    <mergeCell ref="A216:G216"/>
    <mergeCell ref="A221:G221"/>
    <mergeCell ref="A226:G226"/>
    <mergeCell ref="A231:G231"/>
    <mergeCell ref="A186:G186"/>
    <mergeCell ref="A191:G191"/>
    <mergeCell ref="A196:G196"/>
    <mergeCell ref="A201:G201"/>
    <mergeCell ref="A206:G206"/>
    <mergeCell ref="A171:G171"/>
    <mergeCell ref="A176:G176"/>
    <mergeCell ref="A181:G181"/>
    <mergeCell ref="A136:G136"/>
    <mergeCell ref="A141:G141"/>
    <mergeCell ref="A146:G146"/>
    <mergeCell ref="A151:G151"/>
    <mergeCell ref="A156:G156"/>
    <mergeCell ref="A211:G211"/>
    <mergeCell ref="A126:G126"/>
    <mergeCell ref="A131:G131"/>
    <mergeCell ref="A86:G86"/>
    <mergeCell ref="A91:G91"/>
    <mergeCell ref="A96:G96"/>
    <mergeCell ref="A101:G101"/>
    <mergeCell ref="A106:G106"/>
    <mergeCell ref="A161:G161"/>
    <mergeCell ref="A166:G166"/>
    <mergeCell ref="A81:G81"/>
    <mergeCell ref="A36:G36"/>
    <mergeCell ref="A41:G41"/>
    <mergeCell ref="A46:G46"/>
    <mergeCell ref="A51:G51"/>
    <mergeCell ref="A56:G56"/>
    <mergeCell ref="A111:G111"/>
    <mergeCell ref="A116:G116"/>
    <mergeCell ref="A121:G121"/>
    <mergeCell ref="A3:G3"/>
    <mergeCell ref="J7:K7"/>
    <mergeCell ref="J13:K13"/>
    <mergeCell ref="M16:N16"/>
    <mergeCell ref="A26:G26"/>
    <mergeCell ref="A61:G61"/>
    <mergeCell ref="A66:G66"/>
    <mergeCell ref="A71:G71"/>
    <mergeCell ref="A76:G76"/>
  </mergeCells>
  <dataValidations disablePrompts="1" count="1">
    <dataValidation type="whole" allowBlank="1" showInputMessage="1" showErrorMessage="1" promptTitle="Numerical Only" sqref="J6" xr:uid="{70500F8F-6F87-464A-BD0A-0210CFBD28B5}">
      <formula1>0</formula1>
      <formula2>70</formula2>
    </dataValidation>
  </dataValidations>
  <pageMargins left="0.65732939632545895" right="0.65732939632545895" top="0.20428149600000001" bottom="0.70428149606299195" header="0.28171259842519702" footer="0.28171259842519702"/>
  <pageSetup scale="61" orientation="portrait" r:id="rId1"/>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A5B0CE4-7A74-48D0-A4ED-94879B35D721}">
          <x14:formula1>
            <xm:f>LISTS!$B$3:$B$4</xm:f>
          </x14:formula1>
          <xm:sqref>J4</xm:sqref>
        </x14:dataValidation>
        <x14:dataValidation type="list" allowBlank="1" showInputMessage="1" showErrorMessage="1" xr:uid="{DC2F6122-E2C4-4530-B26D-D682E8A98429}">
          <x14:formula1>
            <xm:f>LISTS!$B$7:$B$10</xm:f>
          </x14:formula1>
          <xm:sqref>J5</xm:sqref>
        </x14:dataValidation>
        <x14:dataValidation type="list" allowBlank="1" showInputMessage="1" showErrorMessage="1" xr:uid="{C88FA613-1E0F-4459-B925-8CA5B9ED596B}">
          <x14:formula1>
            <xm:f>LISTS!$D$3:$D$4</xm:f>
          </x14:formula1>
          <xm:sqref>J2</xm:sqref>
        </x14:dataValidation>
        <x14:dataValidation type="list" allowBlank="1" showInputMessage="1" showErrorMessage="1" xr:uid="{30CCED81-E7C6-4757-BA58-F443CA8DD282}">
          <x14:formula1>
            <xm:f>DATA!$B$67:$B$83</xm:f>
          </x14:formula1>
          <xm:sqref>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AE292-AC56-4338-B50C-B12600F55075}">
  <sheetPr codeName="Sheet2"/>
  <dimension ref="A1:B104"/>
  <sheetViews>
    <sheetView workbookViewId="0">
      <selection activeCell="G15" sqref="G15"/>
    </sheetView>
  </sheetViews>
  <sheetFormatPr defaultRowHeight="14.4" x14ac:dyDescent="0.3"/>
  <cols>
    <col min="1" max="1" width="49.33203125" bestFit="1" customWidth="1"/>
    <col min="2" max="2" width="11.44140625" customWidth="1"/>
  </cols>
  <sheetData>
    <row r="1" spans="1:2" ht="18.600000000000001" thickBot="1" x14ac:dyDescent="0.4">
      <c r="A1" s="274" t="s">
        <v>470</v>
      </c>
      <c r="B1" s="275"/>
    </row>
    <row r="2" spans="1:2" ht="15" thickBot="1" x14ac:dyDescent="0.35">
      <c r="A2" s="123" t="s">
        <v>93</v>
      </c>
      <c r="B2" s="124" t="s">
        <v>294</v>
      </c>
    </row>
    <row r="3" spans="1:2" x14ac:dyDescent="0.3">
      <c r="A3" s="125"/>
      <c r="B3" s="127"/>
    </row>
    <row r="4" spans="1:2" x14ac:dyDescent="0.3">
      <c r="A4" s="126"/>
      <c r="B4" s="127"/>
    </row>
    <row r="5" spans="1:2" x14ac:dyDescent="0.3">
      <c r="A5" s="126"/>
      <c r="B5" s="127"/>
    </row>
    <row r="6" spans="1:2" x14ac:dyDescent="0.3">
      <c r="A6" s="126"/>
      <c r="B6" s="127"/>
    </row>
    <row r="7" spans="1:2" x14ac:dyDescent="0.3">
      <c r="A7" s="126"/>
      <c r="B7" s="127"/>
    </row>
    <row r="8" spans="1:2" x14ac:dyDescent="0.3">
      <c r="A8" s="126"/>
      <c r="B8" s="127"/>
    </row>
    <row r="9" spans="1:2" x14ac:dyDescent="0.3">
      <c r="A9" s="126"/>
      <c r="B9" s="127"/>
    </row>
    <row r="10" spans="1:2" x14ac:dyDescent="0.3">
      <c r="A10" s="126"/>
      <c r="B10" s="127"/>
    </row>
    <row r="11" spans="1:2" x14ac:dyDescent="0.3">
      <c r="A11" s="126"/>
      <c r="B11" s="127"/>
    </row>
    <row r="12" spans="1:2" x14ac:dyDescent="0.3">
      <c r="A12" s="126"/>
      <c r="B12" s="127"/>
    </row>
    <row r="13" spans="1:2" x14ac:dyDescent="0.3">
      <c r="A13" s="126"/>
      <c r="B13" s="127"/>
    </row>
    <row r="14" spans="1:2" x14ac:dyDescent="0.3">
      <c r="A14" s="126"/>
      <c r="B14" s="127"/>
    </row>
    <row r="15" spans="1:2" x14ac:dyDescent="0.3">
      <c r="A15" s="126"/>
      <c r="B15" s="127"/>
    </row>
    <row r="16" spans="1:2" x14ac:dyDescent="0.3">
      <c r="A16" s="126"/>
      <c r="B16" s="127"/>
    </row>
    <row r="17" spans="1:2" x14ac:dyDescent="0.3">
      <c r="A17" s="126"/>
      <c r="B17" s="127"/>
    </row>
    <row r="18" spans="1:2" x14ac:dyDescent="0.3">
      <c r="A18" s="126"/>
      <c r="B18" s="127"/>
    </row>
    <row r="19" spans="1:2" x14ac:dyDescent="0.3">
      <c r="A19" s="126"/>
      <c r="B19" s="127"/>
    </row>
    <row r="20" spans="1:2" x14ac:dyDescent="0.3">
      <c r="A20" s="126"/>
      <c r="B20" s="127"/>
    </row>
    <row r="21" spans="1:2" x14ac:dyDescent="0.3">
      <c r="A21" s="126"/>
      <c r="B21" s="127"/>
    </row>
    <row r="22" spans="1:2" x14ac:dyDescent="0.3">
      <c r="A22" s="126"/>
      <c r="B22" s="127"/>
    </row>
    <row r="23" spans="1:2" x14ac:dyDescent="0.3">
      <c r="A23" s="126"/>
      <c r="B23" s="127"/>
    </row>
    <row r="24" spans="1:2" x14ac:dyDescent="0.3">
      <c r="A24" s="126"/>
      <c r="B24" s="127"/>
    </row>
    <row r="25" spans="1:2" x14ac:dyDescent="0.3">
      <c r="A25" s="126"/>
      <c r="B25" s="127"/>
    </row>
    <row r="26" spans="1:2" x14ac:dyDescent="0.3">
      <c r="A26" s="126"/>
      <c r="B26" s="127"/>
    </row>
    <row r="27" spans="1:2" x14ac:dyDescent="0.3">
      <c r="A27" s="126"/>
      <c r="B27" s="127"/>
    </row>
    <row r="28" spans="1:2" x14ac:dyDescent="0.3">
      <c r="A28" s="126"/>
      <c r="B28" s="127"/>
    </row>
    <row r="29" spans="1:2" x14ac:dyDescent="0.3">
      <c r="A29" s="126"/>
      <c r="B29" s="127"/>
    </row>
    <row r="30" spans="1:2" x14ac:dyDescent="0.3">
      <c r="A30" s="126"/>
      <c r="B30" s="127"/>
    </row>
    <row r="31" spans="1:2" x14ac:dyDescent="0.3">
      <c r="A31" s="126"/>
      <c r="B31" s="127"/>
    </row>
    <row r="32" spans="1:2" x14ac:dyDescent="0.3">
      <c r="A32" s="126"/>
      <c r="B32" s="127"/>
    </row>
    <row r="33" spans="1:2" x14ac:dyDescent="0.3">
      <c r="A33" s="126"/>
      <c r="B33" s="127"/>
    </row>
    <row r="34" spans="1:2" x14ac:dyDescent="0.3">
      <c r="A34" s="126"/>
      <c r="B34" s="127"/>
    </row>
    <row r="35" spans="1:2" x14ac:dyDescent="0.3">
      <c r="A35" s="126"/>
      <c r="B35" s="127"/>
    </row>
    <row r="36" spans="1:2" x14ac:dyDescent="0.3">
      <c r="A36" s="126"/>
      <c r="B36" s="127"/>
    </row>
    <row r="37" spans="1:2" x14ac:dyDescent="0.3">
      <c r="A37" s="126"/>
      <c r="B37" s="127"/>
    </row>
    <row r="38" spans="1:2" x14ac:dyDescent="0.3">
      <c r="A38" s="126"/>
      <c r="B38" s="127"/>
    </row>
    <row r="39" spans="1:2" x14ac:dyDescent="0.3">
      <c r="A39" s="126"/>
      <c r="B39" s="127"/>
    </row>
    <row r="40" spans="1:2" x14ac:dyDescent="0.3">
      <c r="A40" s="126"/>
      <c r="B40" s="127"/>
    </row>
    <row r="41" spans="1:2" x14ac:dyDescent="0.3">
      <c r="A41" s="126"/>
      <c r="B41" s="127"/>
    </row>
    <row r="42" spans="1:2" x14ac:dyDescent="0.3">
      <c r="A42" s="126"/>
      <c r="B42" s="127"/>
    </row>
    <row r="43" spans="1:2" x14ac:dyDescent="0.3">
      <c r="A43" s="126"/>
      <c r="B43" s="127"/>
    </row>
    <row r="44" spans="1:2" x14ac:dyDescent="0.3">
      <c r="A44" s="126"/>
      <c r="B44" s="127"/>
    </row>
    <row r="45" spans="1:2" x14ac:dyDescent="0.3">
      <c r="A45" s="126"/>
      <c r="B45" s="127"/>
    </row>
    <row r="46" spans="1:2" x14ac:dyDescent="0.3">
      <c r="A46" s="126"/>
      <c r="B46" s="127"/>
    </row>
    <row r="47" spans="1:2" x14ac:dyDescent="0.3">
      <c r="A47" s="126"/>
      <c r="B47" s="127"/>
    </row>
    <row r="48" spans="1:2" x14ac:dyDescent="0.3">
      <c r="A48" s="126"/>
      <c r="B48" s="127"/>
    </row>
    <row r="49" spans="1:2" x14ac:dyDescent="0.3">
      <c r="A49" s="126"/>
      <c r="B49" s="127"/>
    </row>
    <row r="50" spans="1:2" x14ac:dyDescent="0.3">
      <c r="A50" s="126"/>
      <c r="B50" s="127"/>
    </row>
    <row r="51" spans="1:2" x14ac:dyDescent="0.3">
      <c r="A51" s="126"/>
      <c r="B51" s="127"/>
    </row>
    <row r="52" spans="1:2" x14ac:dyDescent="0.3">
      <c r="A52" s="126"/>
      <c r="B52" s="127"/>
    </row>
    <row r="53" spans="1:2" x14ac:dyDescent="0.3">
      <c r="A53" s="126"/>
      <c r="B53" s="127"/>
    </row>
    <row r="54" spans="1:2" x14ac:dyDescent="0.3">
      <c r="A54" s="126"/>
      <c r="B54" s="127"/>
    </row>
    <row r="55" spans="1:2" x14ac:dyDescent="0.3">
      <c r="A55" s="126"/>
      <c r="B55" s="127"/>
    </row>
    <row r="56" spans="1:2" x14ac:dyDescent="0.3">
      <c r="A56" s="126"/>
      <c r="B56" s="127"/>
    </row>
    <row r="57" spans="1:2" x14ac:dyDescent="0.3">
      <c r="A57" s="126"/>
      <c r="B57" s="127"/>
    </row>
    <row r="58" spans="1:2" x14ac:dyDescent="0.3">
      <c r="A58" s="126"/>
      <c r="B58" s="127"/>
    </row>
    <row r="59" spans="1:2" x14ac:dyDescent="0.3">
      <c r="A59" s="126"/>
      <c r="B59" s="127"/>
    </row>
    <row r="60" spans="1:2" x14ac:dyDescent="0.3">
      <c r="A60" s="126"/>
      <c r="B60" s="127"/>
    </row>
    <row r="61" spans="1:2" x14ac:dyDescent="0.3">
      <c r="A61" s="126"/>
      <c r="B61" s="127"/>
    </row>
    <row r="62" spans="1:2" x14ac:dyDescent="0.3">
      <c r="A62" s="126"/>
      <c r="B62" s="127"/>
    </row>
    <row r="63" spans="1:2" x14ac:dyDescent="0.3">
      <c r="A63" s="126"/>
      <c r="B63" s="127"/>
    </row>
    <row r="64" spans="1:2" x14ac:dyDescent="0.3">
      <c r="A64" s="126"/>
      <c r="B64" s="127"/>
    </row>
    <row r="65" spans="1:2" x14ac:dyDescent="0.3">
      <c r="A65" s="126"/>
      <c r="B65" s="127"/>
    </row>
    <row r="66" spans="1:2" x14ac:dyDescent="0.3">
      <c r="A66" s="126"/>
      <c r="B66" s="127"/>
    </row>
    <row r="67" spans="1:2" x14ac:dyDescent="0.3">
      <c r="A67" s="126"/>
      <c r="B67" s="127"/>
    </row>
    <row r="68" spans="1:2" x14ac:dyDescent="0.3">
      <c r="A68" s="126"/>
      <c r="B68" s="127"/>
    </row>
    <row r="69" spans="1:2" x14ac:dyDescent="0.3">
      <c r="A69" s="126"/>
      <c r="B69" s="127"/>
    </row>
    <row r="70" spans="1:2" x14ac:dyDescent="0.3">
      <c r="A70" s="126"/>
      <c r="B70" s="127"/>
    </row>
    <row r="71" spans="1:2" x14ac:dyDescent="0.3">
      <c r="A71" s="126"/>
      <c r="B71" s="127"/>
    </row>
    <row r="72" spans="1:2" x14ac:dyDescent="0.3">
      <c r="A72" s="126"/>
      <c r="B72" s="127"/>
    </row>
    <row r="73" spans="1:2" x14ac:dyDescent="0.3">
      <c r="A73" s="126"/>
      <c r="B73" s="127"/>
    </row>
    <row r="74" spans="1:2" x14ac:dyDescent="0.3">
      <c r="A74" s="126"/>
      <c r="B74" s="127"/>
    </row>
    <row r="75" spans="1:2" x14ac:dyDescent="0.3">
      <c r="A75" s="126"/>
      <c r="B75" s="127"/>
    </row>
    <row r="76" spans="1:2" x14ac:dyDescent="0.3">
      <c r="A76" s="126"/>
      <c r="B76" s="127"/>
    </row>
    <row r="77" spans="1:2" x14ac:dyDescent="0.3">
      <c r="A77" s="126"/>
      <c r="B77" s="127"/>
    </row>
    <row r="78" spans="1:2" x14ac:dyDescent="0.3">
      <c r="A78" s="126"/>
      <c r="B78" s="127"/>
    </row>
    <row r="79" spans="1:2" x14ac:dyDescent="0.3">
      <c r="A79" s="126"/>
      <c r="B79" s="127"/>
    </row>
    <row r="80" spans="1:2" x14ac:dyDescent="0.3">
      <c r="A80" s="126"/>
      <c r="B80" s="127"/>
    </row>
    <row r="81" spans="1:2" x14ac:dyDescent="0.3">
      <c r="A81" s="126"/>
      <c r="B81" s="127"/>
    </row>
    <row r="82" spans="1:2" x14ac:dyDescent="0.3">
      <c r="A82" s="126"/>
      <c r="B82" s="127"/>
    </row>
    <row r="83" spans="1:2" x14ac:dyDescent="0.3">
      <c r="A83" s="126"/>
      <c r="B83" s="127"/>
    </row>
    <row r="84" spans="1:2" x14ac:dyDescent="0.3">
      <c r="A84" s="126"/>
      <c r="B84" s="127"/>
    </row>
    <row r="85" spans="1:2" x14ac:dyDescent="0.3">
      <c r="A85" s="126"/>
      <c r="B85" s="127"/>
    </row>
    <row r="86" spans="1:2" x14ac:dyDescent="0.3">
      <c r="A86" s="126"/>
      <c r="B86" s="127"/>
    </row>
    <row r="87" spans="1:2" x14ac:dyDescent="0.3">
      <c r="A87" s="126"/>
      <c r="B87" s="127"/>
    </row>
    <row r="88" spans="1:2" x14ac:dyDescent="0.3">
      <c r="A88" s="126"/>
      <c r="B88" s="127"/>
    </row>
    <row r="89" spans="1:2" x14ac:dyDescent="0.3">
      <c r="A89" s="126"/>
      <c r="B89" s="127"/>
    </row>
    <row r="90" spans="1:2" x14ac:dyDescent="0.3">
      <c r="A90" s="126"/>
      <c r="B90" s="127"/>
    </row>
    <row r="91" spans="1:2" x14ac:dyDescent="0.3">
      <c r="A91" s="126"/>
      <c r="B91" s="127"/>
    </row>
    <row r="92" spans="1:2" x14ac:dyDescent="0.3">
      <c r="A92" s="126"/>
      <c r="B92" s="127"/>
    </row>
    <row r="93" spans="1:2" x14ac:dyDescent="0.3">
      <c r="A93" s="126"/>
      <c r="B93" s="127"/>
    </row>
    <row r="94" spans="1:2" x14ac:dyDescent="0.3">
      <c r="A94" s="126"/>
      <c r="B94" s="127"/>
    </row>
    <row r="95" spans="1:2" x14ac:dyDescent="0.3">
      <c r="A95" s="126"/>
      <c r="B95" s="127"/>
    </row>
    <row r="96" spans="1:2" x14ac:dyDescent="0.3">
      <c r="A96" s="126"/>
      <c r="B96" s="127"/>
    </row>
    <row r="97" spans="1:2" x14ac:dyDescent="0.3">
      <c r="A97" s="126"/>
      <c r="B97" s="127"/>
    </row>
    <row r="98" spans="1:2" x14ac:dyDescent="0.3">
      <c r="A98" s="126"/>
      <c r="B98" s="127"/>
    </row>
    <row r="99" spans="1:2" x14ac:dyDescent="0.3">
      <c r="A99" s="126"/>
      <c r="B99" s="127"/>
    </row>
    <row r="100" spans="1:2" x14ac:dyDescent="0.3">
      <c r="A100" s="126"/>
      <c r="B100" s="127"/>
    </row>
    <row r="101" spans="1:2" x14ac:dyDescent="0.3">
      <c r="A101" s="126"/>
      <c r="B101" s="127"/>
    </row>
    <row r="102" spans="1:2" x14ac:dyDescent="0.3">
      <c r="A102" s="126"/>
      <c r="B102" s="127"/>
    </row>
    <row r="103" spans="1:2" ht="15" thickBot="1" x14ac:dyDescent="0.35">
      <c r="A103" s="128" t="s">
        <v>7</v>
      </c>
      <c r="B103" s="138">
        <f>SUM(B3:B102)</f>
        <v>0</v>
      </c>
    </row>
    <row r="104" spans="1:2" ht="15" thickTop="1" x14ac:dyDescent="0.3"/>
  </sheetData>
  <mergeCells count="1">
    <mergeCell ref="A1:B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CF0DB4-962A-4CA8-92D3-5D728277266B}">
  <sheetPr codeName="Sheet9">
    <pageSetUpPr fitToPage="1"/>
  </sheetPr>
  <dimension ref="A1:BA94"/>
  <sheetViews>
    <sheetView topLeftCell="C1" zoomScale="55" zoomScaleNormal="55" workbookViewId="0">
      <selection activeCell="H71" sqref="H71"/>
    </sheetView>
  </sheetViews>
  <sheetFormatPr defaultColWidth="9" defaultRowHeight="14.4" x14ac:dyDescent="0.3"/>
  <cols>
    <col min="1" max="1" width="1.6640625" style="194" customWidth="1"/>
    <col min="2" max="2" width="40.6640625" style="194" bestFit="1" customWidth="1"/>
    <col min="3" max="4" width="18.33203125" style="194" bestFit="1" customWidth="1"/>
    <col min="5" max="5" width="32" style="194" bestFit="1" customWidth="1"/>
    <col min="6" max="6" width="64.44140625" style="194" bestFit="1" customWidth="1"/>
    <col min="7" max="8" width="15.33203125" style="194" bestFit="1" customWidth="1"/>
    <col min="9" max="9" width="20.6640625" style="194" bestFit="1" customWidth="1"/>
    <col min="10" max="10" width="19.6640625" style="194" bestFit="1" customWidth="1"/>
    <col min="11" max="11" width="14.44140625" style="194" bestFit="1" customWidth="1"/>
    <col min="12" max="13" width="9.33203125" style="194" customWidth="1"/>
    <col min="14" max="14" width="11" style="194" customWidth="1"/>
    <col min="15" max="53" width="9.33203125" style="194" bestFit="1" customWidth="1"/>
    <col min="54" max="16384" width="9" style="194"/>
  </cols>
  <sheetData>
    <row r="1" spans="1:12" x14ac:dyDescent="0.3">
      <c r="A1" s="191"/>
      <c r="B1" s="192"/>
      <c r="C1" s="192"/>
      <c r="D1" s="192"/>
      <c r="E1" s="192"/>
      <c r="F1" s="192"/>
      <c r="G1" s="192"/>
      <c r="H1" s="192"/>
      <c r="I1" s="192"/>
      <c r="J1" s="192"/>
      <c r="K1" s="192"/>
      <c r="L1" s="193"/>
    </row>
    <row r="2" spans="1:12" ht="15" thickBot="1" x14ac:dyDescent="0.35">
      <c r="A2" s="195"/>
      <c r="B2" s="196" t="s">
        <v>84</v>
      </c>
      <c r="C2" s="196" t="s">
        <v>45</v>
      </c>
      <c r="D2" s="196" t="s">
        <v>6</v>
      </c>
      <c r="E2" s="196" t="s">
        <v>46</v>
      </c>
      <c r="F2" s="196" t="s">
        <v>47</v>
      </c>
      <c r="L2" s="197"/>
    </row>
    <row r="3" spans="1:12" x14ac:dyDescent="0.3">
      <c r="A3" s="198" t="s">
        <v>12</v>
      </c>
      <c r="I3" s="199"/>
      <c r="J3" s="200" t="s">
        <v>85</v>
      </c>
      <c r="K3" s="201" t="s">
        <v>86</v>
      </c>
      <c r="L3" s="197"/>
    </row>
    <row r="4" spans="1:12" x14ac:dyDescent="0.3">
      <c r="A4" s="195"/>
      <c r="D4" s="202">
        <f>_xlfn.XLOOKUP(BUDGET!$J$5,$I$4:$I$7,$J$4:$J$7)*2</f>
        <v>150</v>
      </c>
      <c r="E4" s="194" t="s">
        <v>48</v>
      </c>
      <c r="F4" s="202">
        <f>+D4</f>
        <v>150</v>
      </c>
      <c r="I4" s="203" t="s">
        <v>69</v>
      </c>
      <c r="J4" s="194">
        <v>56</v>
      </c>
      <c r="K4" s="197">
        <v>71</v>
      </c>
      <c r="L4" s="197"/>
    </row>
    <row r="5" spans="1:12" x14ac:dyDescent="0.3">
      <c r="A5" s="195"/>
      <c r="D5" s="202">
        <f>_xlfn.XLOOKUP(BUDGET!$J$5,$I$4:$I$7,$J$4:$J$7)</f>
        <v>75</v>
      </c>
      <c r="E5" s="194" t="s">
        <v>49</v>
      </c>
      <c r="F5" s="202">
        <f>+D5</f>
        <v>75</v>
      </c>
      <c r="I5" s="203" t="s">
        <v>71</v>
      </c>
      <c r="J5" s="194">
        <v>75</v>
      </c>
      <c r="K5" s="197">
        <v>150</v>
      </c>
      <c r="L5" s="197"/>
    </row>
    <row r="6" spans="1:12" x14ac:dyDescent="0.3">
      <c r="A6" s="195"/>
      <c r="D6" s="202">
        <f>_xlfn.XLOOKUP(BUDGET!$J$5,$I$4:$I$7,$J$4:$J$7)</f>
        <v>75</v>
      </c>
      <c r="E6" s="194" t="s">
        <v>50</v>
      </c>
      <c r="F6" s="202">
        <f>+D6*BUDGET!$I$16</f>
        <v>0</v>
      </c>
      <c r="I6" s="203" t="s">
        <v>72</v>
      </c>
      <c r="J6" s="194">
        <v>75</v>
      </c>
      <c r="K6" s="197">
        <v>150</v>
      </c>
      <c r="L6" s="197"/>
    </row>
    <row r="7" spans="1:12" ht="15" thickBot="1" x14ac:dyDescent="0.35">
      <c r="A7" s="204"/>
      <c r="B7" s="205"/>
      <c r="C7" s="205"/>
      <c r="D7" s="205"/>
      <c r="E7" s="205"/>
      <c r="F7" s="205"/>
      <c r="G7" s="206">
        <f>_xlfn.AGGREGATE(9,6,(F4:F6))</f>
        <v>225</v>
      </c>
      <c r="H7" s="206"/>
      <c r="I7" s="207" t="s">
        <v>162</v>
      </c>
      <c r="J7" s="208">
        <v>75</v>
      </c>
      <c r="K7" s="209">
        <v>150</v>
      </c>
      <c r="L7" s="197"/>
    </row>
    <row r="8" spans="1:12" x14ac:dyDescent="0.3">
      <c r="A8" s="195"/>
      <c r="L8" s="197"/>
    </row>
    <row r="9" spans="1:12" x14ac:dyDescent="0.3">
      <c r="A9" s="198" t="s">
        <v>51</v>
      </c>
      <c r="I9" s="196" t="s">
        <v>97</v>
      </c>
      <c r="J9" s="210">
        <f>((BUDGET!$G$553-IFERROR(BUDGET!$G$551,0)-IFERROR(BUDGET!$G$24,0)-IFERROR(BUDGET!$G$22,0))-($F$41-$F$39-$F$14-$F$12))/(BUDGET!$G$553-IFERROR(BUDGET!$G$551,0)-IFERROR(BUDGET!$G$24,0)-IFERROR(BUDGET!$G$22,0))</f>
        <v>0.22413793103448276</v>
      </c>
      <c r="L9" s="197"/>
    </row>
    <row r="10" spans="1:12" x14ac:dyDescent="0.3">
      <c r="A10" s="195"/>
      <c r="D10" s="202">
        <f>_xlfn.XLOOKUP(BUDGET!$J$5,$I$4:$I$7,$K$4:$K$7)</f>
        <v>150</v>
      </c>
      <c r="E10" s="194" t="s">
        <v>52</v>
      </c>
      <c r="F10" s="202">
        <f>+$D$10*BUDGET!$E$20*BUDGET!$D$20*BUDGET!$C$20</f>
        <v>0</v>
      </c>
      <c r="I10" s="196" t="s">
        <v>98</v>
      </c>
      <c r="J10" s="211">
        <f>+$J$9+0.45-0.9</f>
        <v>-0.22586206896551719</v>
      </c>
      <c r="L10" s="197"/>
    </row>
    <row r="11" spans="1:12" x14ac:dyDescent="0.3">
      <c r="A11" s="195"/>
      <c r="C11" s="194" t="s">
        <v>53</v>
      </c>
      <c r="D11" s="202">
        <f>_xlfn.XLOOKUP(BUDGET!$J$5,$I$4:$I$7,$J$4:$J$7)</f>
        <v>75</v>
      </c>
      <c r="E11" s="194" t="s">
        <v>54</v>
      </c>
      <c r="F11" s="202">
        <f>+$D$11*IF(BUDGET!E20&gt;0,(BUDGET!$E$20+3),0)*BUDGET!$C$29*BUDGET!$D$29</f>
        <v>0</v>
      </c>
      <c r="L11" s="197"/>
    </row>
    <row r="12" spans="1:12" x14ac:dyDescent="0.3">
      <c r="A12" s="195"/>
      <c r="D12" s="202">
        <f>+BUDGET!G22</f>
        <v>0</v>
      </c>
      <c r="E12" s="194" t="s">
        <v>55</v>
      </c>
      <c r="F12" s="202">
        <f>+$D$12</f>
        <v>0</v>
      </c>
      <c r="L12" s="197"/>
    </row>
    <row r="13" spans="1:12" x14ac:dyDescent="0.3">
      <c r="A13" s="195"/>
      <c r="D13" s="202">
        <f>+BUDGET!$M$23</f>
        <v>0</v>
      </c>
      <c r="E13" s="194" t="s">
        <v>56</v>
      </c>
      <c r="F13" s="202">
        <f>+$D$13</f>
        <v>0</v>
      </c>
      <c r="L13" s="197"/>
    </row>
    <row r="14" spans="1:12" x14ac:dyDescent="0.3">
      <c r="A14" s="195"/>
      <c r="D14" s="202">
        <f>+BUDGET!$G$24</f>
        <v>0</v>
      </c>
      <c r="E14" s="194" t="s">
        <v>57</v>
      </c>
      <c r="F14" s="202">
        <f>+$D$14</f>
        <v>0</v>
      </c>
      <c r="L14" s="197"/>
    </row>
    <row r="15" spans="1:12" x14ac:dyDescent="0.3">
      <c r="A15" s="204"/>
      <c r="B15" s="205"/>
      <c r="C15" s="205"/>
      <c r="D15" s="205"/>
      <c r="E15" s="205"/>
      <c r="F15" s="205"/>
      <c r="G15" s="206">
        <f>_xlfn.AGGREGATE(9,6,(F10:F14))</f>
        <v>0</v>
      </c>
      <c r="H15" s="206"/>
      <c r="I15" s="206"/>
      <c r="J15" s="206"/>
      <c r="L15" s="197"/>
    </row>
    <row r="16" spans="1:12" x14ac:dyDescent="0.3">
      <c r="A16" s="195"/>
      <c r="L16" s="197"/>
    </row>
    <row r="17" spans="1:12" x14ac:dyDescent="0.3">
      <c r="A17" s="198" t="s">
        <v>58</v>
      </c>
      <c r="L17" s="197"/>
    </row>
    <row r="18" spans="1:12" x14ac:dyDescent="0.3">
      <c r="A18" s="195"/>
      <c r="D18" s="202">
        <f>_xlfn.XLOOKUP(BUDGET!$J$5,$I$4:$I$7,$K$4:$K$7)</f>
        <v>150</v>
      </c>
      <c r="E18" s="194" t="s">
        <v>279</v>
      </c>
      <c r="F18" s="202">
        <f>$D$18*SUM(PRODUCT(BUDGET!C28:E28),PRODUCT(BUDGET!C38:E38),PRODUCT(BUDGET!C43:E43),PRODUCT(BUDGET!C48:E48),PRODUCT(BUDGET!C53:E53),PRODUCT(BUDGET!C58:E58),PRODUCT(BUDGET!C63:E63),PRODUCT(BUDGET!C68:E68),PRODUCT(BUDGET!C73:E73),PRODUCT(BUDGET!C78:E78),PRODUCT(BUDGET!C83:E83),PRODUCT(BUDGET!C88:E88),PRODUCT(BUDGET!C93:E93),PRODUCT(BUDGET!C98:E98),PRODUCT(BUDGET!C103:E103),PRODUCT(BUDGET!C108:E108),PRODUCT(BUDGET!C113:E113),PRODUCT(BUDGET!C118:E118),PRODUCT(BUDGET!C123:E123),PRODUCT(BUDGET!C128:E128),PRODUCT(BUDGET!C133:E133),PRODUCT(BUDGET!C138:E138),PRODUCT(BUDGET!C143:E143),PRODUCT(BUDGET!C148:E148),PRODUCT(BUDGET!C153:E153),PRODUCT(BUDGET!C158:E158),PRODUCT(BUDGET!C163:E163),PRODUCT(BUDGET!C168:E168),PRODUCT(BUDGET!C173:E173),PRODUCT(BUDGET!C178:E178),PRODUCT(BUDGET!C183:E183),PRODUCT(BUDGET!C188:E188),PRODUCT(BUDGET!C193:E193),PRODUCT(BUDGET!C198:E198),PRODUCT(BUDGET!C203:E203),PRODUCT(BUDGET!C208:E208),PRODUCT(BUDGET!C213:E213),PRODUCT(BUDGET!C218:E218),PRODUCT(BUDGET!C223:E223),PRODUCT(BUDGET!C228:E228),PRODUCT(BUDGET!C233:E233),PRODUCT(BUDGET!C238:E238),PRODUCT(BUDGET!C243:E243),PRODUCT(BUDGET!C248:E248),PRODUCT(BUDGET!C253:E253),PRODUCT(BUDGET!C258:E258),PRODUCT(BUDGET!C263:E263),PRODUCT(BUDGET!C268:E268),PRODUCT(BUDGET!C273:E273),PRODUCT(BUDGET!C278:E278),PRODUCT(BUDGET!C283:E283),PRODUCT(BUDGET!C288:E288),PRODUCT(BUDGET!C293:E293),PRODUCT(BUDGET!C298:E298),PRODUCT(BUDGET!C303:E303),PRODUCT(BUDGET!C308:E308),PRODUCT(BUDGET!C313:E313),PRODUCT(BUDGET!C318:E318),PRODUCT(BUDGET!C323:E323),PRODUCT(BUDGET!C328:E328),PRODUCT(BUDGET!C333:E333),PRODUCT(BUDGET!C338:E338),PRODUCT(BUDGET!C343:E343),PRODUCT(BUDGET!C348:E348),PRODUCT(BUDGET!C353:E353),PRODUCT(BUDGET!C358:E358),PRODUCT(BUDGET!C363:E363),PRODUCT(BUDGET!C368:E368),PRODUCT(BUDGET!C373:E373),PRODUCT(BUDGET!C378:E378),PRODUCT(BUDGET!C383:E383),PRODUCT(BUDGET!C388:E388),PRODUCT(BUDGET!C393:E393),PRODUCT(BUDGET!C398:E398),PRODUCT(BUDGET!C403:E403),PRODUCT(BUDGET!C408:E408),PRODUCT(BUDGET!C413:E413),PRODUCT(BUDGET!C418:E418),PRODUCT(BUDGET!C423:E423),PRODUCT(BUDGET!C428:E428),PRODUCT(BUDGET!C433:E433),PRODUCT(BUDGET!C438:E438),PRODUCT(BUDGET!C443:E443),PRODUCT(BUDGET!C448:E448),PRODUCT(BUDGET!C453:E453),PRODUCT(BUDGET!C458:E458),PRODUCT(BUDGET!C463:E463),PRODUCT(BUDGET!C468:E468),PRODUCT(BUDGET!C473:E473),PRODUCT(BUDGET!C478:E478),PRODUCT(BUDGET!C483:E483),PRODUCT(BUDGET!C488:E488),PRODUCT(BUDGET!C493:E493),PRODUCT(BUDGET!C498:E498),PRODUCT(BUDGET!C503:E503),PRODUCT(BUDGET!C508:E508),PRODUCT(BUDGET!C513:E513),PRODUCT(BUDGET!C518:E518),PRODUCT(BUDGET!C523:E523),PRODUCT(BUDGET!C528:E528))</f>
        <v>0</v>
      </c>
      <c r="J18" s="202"/>
      <c r="L18" s="197"/>
    </row>
    <row r="19" spans="1:12" x14ac:dyDescent="0.3">
      <c r="A19" s="195"/>
      <c r="D19" s="202">
        <f>_xlfn.XLOOKUP(BUDGET!$J$5,$I$4:$I$7,$J$4:$J$7)</f>
        <v>75</v>
      </c>
      <c r="E19" s="194" t="s">
        <v>280</v>
      </c>
      <c r="F19" s="202">
        <f>$D$19*SUM(PRODUCT(BUDGET!C29:E29),PRODUCT(BUDGET!C39:E39),PRODUCT(BUDGET!C44:E44),PRODUCT(BUDGET!C49:E49),PRODUCT(BUDGET!C54:E54),PRODUCT(BUDGET!C59:E59),PRODUCT(BUDGET!C64:E64),PRODUCT(BUDGET!C69:E69),PRODUCT(BUDGET!C74:E74),PRODUCT(BUDGET!C79:E79),PRODUCT(BUDGET!C84:E84),PRODUCT(BUDGET!C89:E89),PRODUCT(BUDGET!C94:E94),PRODUCT(BUDGET!C99:E99),PRODUCT(BUDGET!C104:E104),PRODUCT(BUDGET!C109:E109),PRODUCT(BUDGET!C114:E114),PRODUCT(BUDGET!C119:E119),PRODUCT(BUDGET!C124:E124),PRODUCT(BUDGET!C129:E129),PRODUCT(BUDGET!C134:E134),PRODUCT(BUDGET!C139:E139),PRODUCT(BUDGET!C144:E144),PRODUCT(BUDGET!C149:E149),PRODUCT(BUDGET!C154:E154),PRODUCT(BUDGET!C159:E159),PRODUCT(BUDGET!C164:E164),PRODUCT(BUDGET!C169:E169),PRODUCT(BUDGET!C174:E174),PRODUCT(BUDGET!C179:E179),PRODUCT(BUDGET!C184:E184),PRODUCT(BUDGET!C189:E189),PRODUCT(BUDGET!C194:E194),PRODUCT(BUDGET!C199:E199),PRODUCT(BUDGET!C204:E204),PRODUCT(BUDGET!C209:E209),PRODUCT(BUDGET!C214:E214),PRODUCT(BUDGET!C219:E219),PRODUCT(BUDGET!C224:E224),PRODUCT(BUDGET!C229:E229),PRODUCT(BUDGET!C234:E234),PRODUCT(BUDGET!C239:E239),PRODUCT(BUDGET!C244:E244),PRODUCT(BUDGET!C249:E249),PRODUCT(BUDGET!C254:E254),PRODUCT(BUDGET!C259:E259),PRODUCT(BUDGET!C264:E264),PRODUCT(BUDGET!C269:E269),PRODUCT(BUDGET!C274:E274),PRODUCT(BUDGET!C279:E279),PRODUCT(BUDGET!C284:E284),PRODUCT(BUDGET!C289:E289),PRODUCT(BUDGET!C294:E294),PRODUCT(BUDGET!C299:E299),PRODUCT(BUDGET!C304:E304),PRODUCT(BUDGET!C309:E309),PRODUCT(BUDGET!C314:E314),PRODUCT(BUDGET!C319:E319),PRODUCT(BUDGET!C324:E324),PRODUCT(BUDGET!C329:E329),PRODUCT(BUDGET!C334:E334),PRODUCT(BUDGET!C339:E339),PRODUCT(BUDGET!C344:E344),PRODUCT(BUDGET!C349:E349),PRODUCT(BUDGET!C354:E354),PRODUCT(BUDGET!C359:E359),PRODUCT(BUDGET!C364:E364),PRODUCT(BUDGET!C369:E369),PRODUCT(BUDGET!C374:E374),PRODUCT(BUDGET!C379:E379),PRODUCT(BUDGET!C384:E384),PRODUCT(BUDGET!C389:E389),PRODUCT(BUDGET!C394:E394),PRODUCT(BUDGET!C399:E399),PRODUCT(BUDGET!C404:E404),PRODUCT(BUDGET!C409:E409),PRODUCT(BUDGET!C414:E414),PRODUCT(BUDGET!C419:E419),PRODUCT(BUDGET!C424:E424),PRODUCT(BUDGET!C429:E429),PRODUCT(BUDGET!C434:E434),PRODUCT(BUDGET!C439:E439),PRODUCT(BUDGET!C444:E444),PRODUCT(BUDGET!C449:E449),PRODUCT(BUDGET!C454:E454),PRODUCT(BUDGET!C459:E459),PRODUCT(BUDGET!C464:E464),PRODUCT(BUDGET!C469:E469),PRODUCT(BUDGET!C474:E474),PRODUCT(BUDGET!C479:E479),PRODUCT(BUDGET!C484:E484),PRODUCT(BUDGET!C489:E489),PRODUCT(BUDGET!C494:E494),PRODUCT(BUDGET!C499:E499),PRODUCT(BUDGET!C504:E504),PRODUCT(BUDGET!C509:E509),PRODUCT(BUDGET!C514:E514),PRODUCT(BUDGET!C519:E519),PRODUCT(BUDGET!C524:E524),PRODUCT(BUDGET!C529:E529))</f>
        <v>0</v>
      </c>
      <c r="G19" s="202"/>
      <c r="L19" s="197"/>
    </row>
    <row r="20" spans="1:12" x14ac:dyDescent="0.3">
      <c r="A20" s="195"/>
      <c r="D20" s="202">
        <f>_xlfn.XLOOKUP(BUDGET!$J$5,$I$4:$I$7,$K$4:$K$7)</f>
        <v>150</v>
      </c>
      <c r="E20" s="194" t="s">
        <v>285</v>
      </c>
      <c r="F20" s="202">
        <f>+BUDGET!$E$30*BUDGET!$C$30*BUDGET!$D$30*$D$20</f>
        <v>0</v>
      </c>
      <c r="L20" s="197"/>
    </row>
    <row r="21" spans="1:12" x14ac:dyDescent="0.3">
      <c r="A21" s="195"/>
      <c r="D21" s="202">
        <f>_xlfn.XLOOKUP(BUDGET!$J$5,$I$4:$I$7,$J$4:$J$7)</f>
        <v>75</v>
      </c>
      <c r="E21" s="194" t="s">
        <v>286</v>
      </c>
      <c r="F21" s="202">
        <f>+BUDGET!$E$31*BUDGET!$C$31*BUDGET!$D$31*$D$21</f>
        <v>0</v>
      </c>
      <c r="L21" s="197"/>
    </row>
    <row r="22" spans="1:12" x14ac:dyDescent="0.3">
      <c r="A22" s="195"/>
      <c r="D22" s="202">
        <f>_xlfn.XLOOKUP(BUDGET!$J$5,$I$4:$I$7,$K$4:$K$7)</f>
        <v>150</v>
      </c>
      <c r="E22" s="194" t="s">
        <v>289</v>
      </c>
      <c r="F22" s="202">
        <f>+BUDGET!$E$32*BUDGET!$C$32*BUDGET!$D$32*$D$22</f>
        <v>0</v>
      </c>
      <c r="L22" s="197"/>
    </row>
    <row r="23" spans="1:12" x14ac:dyDescent="0.3">
      <c r="A23" s="195"/>
      <c r="D23" s="202">
        <f>_xlfn.XLOOKUP(BUDGET!$J$5,$I$4:$I$7,$J$4:$J$7)</f>
        <v>75</v>
      </c>
      <c r="E23" s="194" t="s">
        <v>290</v>
      </c>
      <c r="F23" s="202">
        <f>+BUDGET!$E$33*BUDGET!$C$33*BUDGET!$D$33*$D$23</f>
        <v>0</v>
      </c>
      <c r="L23" s="197"/>
    </row>
    <row r="24" spans="1:12" x14ac:dyDescent="0.3">
      <c r="A24" s="195"/>
      <c r="D24" s="202">
        <f>_xlfn.XLOOKUP(BUDGET!$J$5,$I$4:$I$7,$K$4:$K$7)</f>
        <v>150</v>
      </c>
      <c r="E24" s="194" t="s">
        <v>87</v>
      </c>
      <c r="F24" s="202">
        <f>+BUDGET!$E$34*BUDGET!$C$34*BUDGET!$D$34*$D$24</f>
        <v>0</v>
      </c>
      <c r="L24" s="197"/>
    </row>
    <row r="25" spans="1:12" x14ac:dyDescent="0.3">
      <c r="A25" s="204"/>
      <c r="B25" s="205"/>
      <c r="C25" s="205"/>
      <c r="D25" s="205"/>
      <c r="E25" s="205"/>
      <c r="F25" s="205"/>
      <c r="G25" s="206">
        <f>_xlfn.AGGREGATE(9,6,(F18:F24))</f>
        <v>0</v>
      </c>
      <c r="H25" s="206"/>
      <c r="I25" s="206"/>
      <c r="J25" s="206"/>
      <c r="L25" s="197"/>
    </row>
    <row r="26" spans="1:12" x14ac:dyDescent="0.3">
      <c r="A26" s="195"/>
      <c r="L26" s="197"/>
    </row>
    <row r="27" spans="1:12" x14ac:dyDescent="0.3">
      <c r="A27" s="198" t="s">
        <v>59</v>
      </c>
      <c r="L27" s="197"/>
    </row>
    <row r="28" spans="1:12" x14ac:dyDescent="0.3">
      <c r="A28" s="195"/>
      <c r="B28" s="212" t="s">
        <v>60</v>
      </c>
      <c r="C28" s="194">
        <v>0.25</v>
      </c>
      <c r="D28" s="202">
        <f>_xlfn.XLOOKUP(BUDGET!$J$5,$I$4:$I$7,$J$4:$J$7)</f>
        <v>75</v>
      </c>
      <c r="E28" s="194" t="s">
        <v>61</v>
      </c>
      <c r="F28" s="202">
        <f>+$D$28*$C$28*BUDGET!$E$541</f>
        <v>0</v>
      </c>
      <c r="L28" s="197"/>
    </row>
    <row r="29" spans="1:12" x14ac:dyDescent="0.3">
      <c r="A29" s="195"/>
      <c r="D29" s="202">
        <f>_xlfn.XLOOKUP(BUDGET!$J$5,$I$4:$I$7,$K$4:$K$7)</f>
        <v>150</v>
      </c>
      <c r="E29" s="194" t="s">
        <v>62</v>
      </c>
      <c r="F29" s="202">
        <f>+$D$29*BUDGET!$E$534</f>
        <v>0</v>
      </c>
      <c r="L29" s="197"/>
    </row>
    <row r="30" spans="1:12" x14ac:dyDescent="0.3">
      <c r="A30" s="195"/>
      <c r="D30" s="202">
        <f>_xlfn.XLOOKUP(BUDGET!$J$5,$I$4:$I$7,$K$4:$K$7)</f>
        <v>150</v>
      </c>
      <c r="E30" s="194" t="s">
        <v>26</v>
      </c>
      <c r="F30" s="202">
        <f>+$D$30*BUDGET!$E$535</f>
        <v>0</v>
      </c>
      <c r="L30" s="197"/>
    </row>
    <row r="31" spans="1:12" x14ac:dyDescent="0.3">
      <c r="A31" s="195"/>
      <c r="D31" s="202">
        <f>_xlfn.XLOOKUP(BUDGET!$J$5,$I$4:$I$7,$K$4:$K$7)</f>
        <v>150</v>
      </c>
      <c r="E31" s="194" t="s">
        <v>27</v>
      </c>
      <c r="F31" s="202">
        <f>+$D$31*BUDGET!$E$536</f>
        <v>0</v>
      </c>
      <c r="L31" s="197"/>
    </row>
    <row r="32" spans="1:12" x14ac:dyDescent="0.3">
      <c r="A32" s="195"/>
      <c r="D32" s="202">
        <f>_xlfn.XLOOKUP(BUDGET!$J$5,$I$4:$I$7,$K$4:$K$7)</f>
        <v>150</v>
      </c>
      <c r="E32" s="194" t="s">
        <v>281</v>
      </c>
      <c r="F32" s="202">
        <f>+$D$32*BUDGET!$E$537</f>
        <v>0</v>
      </c>
      <c r="L32" s="197"/>
    </row>
    <row r="33" spans="1:53" x14ac:dyDescent="0.3">
      <c r="A33" s="195"/>
      <c r="D33" s="202">
        <f>_xlfn.XLOOKUP(BUDGET!$J$5,$I$4:$I$7,$K$4:$K$7)</f>
        <v>150</v>
      </c>
      <c r="E33" s="194" t="s">
        <v>28</v>
      </c>
      <c r="F33" s="202">
        <f>+$D$33*BUDGET!$E$538</f>
        <v>0</v>
      </c>
      <c r="L33" s="197"/>
    </row>
    <row r="34" spans="1:53" x14ac:dyDescent="0.3">
      <c r="A34" s="195"/>
      <c r="L34" s="197"/>
    </row>
    <row r="35" spans="1:53" x14ac:dyDescent="0.3">
      <c r="A35" s="195"/>
      <c r="B35" s="212" t="s">
        <v>63</v>
      </c>
      <c r="C35" s="194">
        <v>1.5</v>
      </c>
      <c r="D35" s="202">
        <f>_xlfn.XLOOKUP(BUDGET!$J$5,$I$4:$I$7,$J$4:$J$7)</f>
        <v>75</v>
      </c>
      <c r="E35" s="194" t="s">
        <v>30</v>
      </c>
      <c r="F35" s="202">
        <f>+$D$35*$C$35*BUDGET!$E$540</f>
        <v>0</v>
      </c>
      <c r="L35" s="197"/>
    </row>
    <row r="36" spans="1:53" x14ac:dyDescent="0.3">
      <c r="A36" s="213"/>
      <c r="B36" s="205"/>
      <c r="C36" s="205"/>
      <c r="D36" s="205"/>
      <c r="E36" s="205"/>
      <c r="F36" s="205"/>
      <c r="G36" s="206">
        <f>_xlfn.AGGREGATE(9,6,(F28:F35))</f>
        <v>0</v>
      </c>
      <c r="H36" s="206"/>
      <c r="I36" s="206"/>
      <c r="J36" s="206"/>
      <c r="L36" s="197"/>
    </row>
    <row r="37" spans="1:53" x14ac:dyDescent="0.3">
      <c r="A37" s="198" t="s">
        <v>64</v>
      </c>
      <c r="B37" s="212"/>
      <c r="D37" s="214"/>
      <c r="G37" s="206"/>
      <c r="H37" s="206"/>
      <c r="I37" s="206"/>
      <c r="J37" s="206"/>
      <c r="L37" s="197"/>
    </row>
    <row r="38" spans="1:53" x14ac:dyDescent="0.3">
      <c r="A38" s="195"/>
      <c r="B38" s="212"/>
      <c r="D38" s="214"/>
      <c r="G38" s="206"/>
      <c r="H38" s="206"/>
      <c r="I38" s="206"/>
      <c r="J38" s="206"/>
      <c r="L38" s="197"/>
    </row>
    <row r="39" spans="1:53" x14ac:dyDescent="0.3">
      <c r="A39" s="195"/>
      <c r="D39" s="202">
        <f>+BUDGET!$G$551</f>
        <v>0</v>
      </c>
      <c r="E39" s="194" t="s">
        <v>65</v>
      </c>
      <c r="F39" s="202">
        <f>IFERROR($D$39,0)</f>
        <v>0</v>
      </c>
      <c r="L39" s="197"/>
    </row>
    <row r="40" spans="1:53" x14ac:dyDescent="0.3">
      <c r="A40" s="195"/>
      <c r="D40" s="202"/>
      <c r="L40" s="197"/>
    </row>
    <row r="41" spans="1:53" x14ac:dyDescent="0.3">
      <c r="A41" s="195"/>
      <c r="D41" s="202"/>
      <c r="F41" s="206">
        <f>_xlfn.AGGREGATE(9,6,(F4:F40))</f>
        <v>225</v>
      </c>
      <c r="G41" s="196" t="s">
        <v>66</v>
      </c>
      <c r="H41" s="196"/>
      <c r="I41" s="196"/>
      <c r="J41" s="196"/>
      <c r="L41" s="197"/>
    </row>
    <row r="42" spans="1:53" ht="15" thickBot="1" x14ac:dyDescent="0.35">
      <c r="A42" s="215"/>
      <c r="B42" s="208"/>
      <c r="C42" s="208"/>
      <c r="D42" s="208"/>
      <c r="E42" s="208"/>
      <c r="F42" s="208"/>
      <c r="G42" s="208"/>
      <c r="H42" s="208"/>
      <c r="I42" s="208"/>
      <c r="J42" s="208"/>
      <c r="K42" s="208"/>
      <c r="L42" s="209"/>
    </row>
    <row r="44" spans="1:53" x14ac:dyDescent="0.3">
      <c r="B44" s="216" t="s">
        <v>113</v>
      </c>
      <c r="C44" s="217"/>
      <c r="D44" s="217"/>
      <c r="E44" s="217"/>
      <c r="F44" s="217"/>
      <c r="G44" s="217"/>
      <c r="H44" s="217"/>
      <c r="I44" s="217"/>
      <c r="J44" s="217"/>
      <c r="K44" s="217"/>
      <c r="L44" s="217"/>
      <c r="M44" s="217"/>
    </row>
    <row r="45" spans="1:53" x14ac:dyDescent="0.3">
      <c r="B45" s="218" t="s">
        <v>105</v>
      </c>
      <c r="C45" s="194">
        <f>IF('PROJECT SUMMARY (Old)'!$B$16&lt;10000,C46/10000,IF('PROJECT SUMMARY (Old)'!$B$16&lt;20000,C46/20000,C46/40000))</f>
        <v>0</v>
      </c>
      <c r="D45" s="194">
        <f>IF('PROJECT SUMMARY (Old)'!$B$16&lt;10000,D46/10000,IF('PROJECT SUMMARY (Old)'!$B$16&lt;20000,D46/20000,D46/40000))</f>
        <v>0</v>
      </c>
      <c r="E45" s="194">
        <f>IF('PROJECT SUMMARY (Old)'!$B$16&lt;10000,E46/10000,IF('PROJECT SUMMARY (Old)'!$B$16&lt;20000,E46/20000,E46/40000))</f>
        <v>0</v>
      </c>
      <c r="F45" s="194">
        <f>IF('PROJECT SUMMARY (Old)'!$B$16&lt;10000,F46/10000,IF('PROJECT SUMMARY (Old)'!$B$16&lt;20000,F46/20000,F46/40000))</f>
        <v>0</v>
      </c>
      <c r="G45" s="194">
        <f>IF('PROJECT SUMMARY (Old)'!$B$16&lt;10000,G46/10000,IF('PROJECT SUMMARY (Old)'!$B$16&lt;20000,G46/20000,G46/40000))</f>
        <v>0</v>
      </c>
      <c r="H45" s="194">
        <f>IF('PROJECT SUMMARY (Old)'!$B$16&lt;10000,H46/10000,IF('PROJECT SUMMARY (Old)'!$B$16&lt;20000,H46/20000,H46/40000))</f>
        <v>0</v>
      </c>
      <c r="I45" s="194">
        <f>IF('PROJECT SUMMARY (Old)'!$B$16&lt;10000,I46/10000,IF('PROJECT SUMMARY (Old)'!$B$16&lt;20000,I46/20000,I46/40000))</f>
        <v>0</v>
      </c>
      <c r="J45" s="194">
        <f>IF('PROJECT SUMMARY (Old)'!$B$16&lt;10000,J46/10000,IF('PROJECT SUMMARY (Old)'!$B$16&lt;20000,J46/20000,J46/40000))</f>
        <v>0</v>
      </c>
      <c r="K45" s="194">
        <f>IF('PROJECT SUMMARY (Old)'!$B$16&lt;10000,K46/10000,IF('PROJECT SUMMARY (Old)'!$B$16&lt;20000,K46/20000,K46/40000))</f>
        <v>0</v>
      </c>
      <c r="L45" s="194">
        <f>IF('PROJECT SUMMARY (Old)'!$B$16&lt;10000,L46/10000,IF('PROJECT SUMMARY (Old)'!$B$16&lt;20000,L46/20000,L46/40000))</f>
        <v>0</v>
      </c>
      <c r="M45" s="196">
        <f>SUM(C45:L45)</f>
        <v>0</v>
      </c>
    </row>
    <row r="46" spans="1:53" x14ac:dyDescent="0.3">
      <c r="B46" s="219" t="s">
        <v>263</v>
      </c>
      <c r="C46" s="220">
        <f>SUM(_xlfn.TOCOL('BUILDING 1 (Old)'!D3))</f>
        <v>0</v>
      </c>
      <c r="D46" s="220">
        <f>SUM(_xlfn.TOCOL('BUILDING 1 (Old)'!D4))</f>
        <v>0</v>
      </c>
      <c r="E46" s="220">
        <f>SUM(_xlfn.TOCOL('BUILDING 1 (Old)'!D5))</f>
        <v>0</v>
      </c>
      <c r="F46" s="220">
        <f>SUM(_xlfn.TOCOL('BUILDING 1 (Old)'!D6))</f>
        <v>0</v>
      </c>
      <c r="G46" s="220">
        <f>SUM(_xlfn.TOCOL('BUILDING 1 (Old)'!D7))</f>
        <v>0</v>
      </c>
      <c r="H46" s="220">
        <f>SUM(_xlfn.TOCOL('BUILDING 1 (Old)'!D8))</f>
        <v>0</v>
      </c>
      <c r="I46" s="220">
        <f>SUM(_xlfn.TOCOL('BUILDING 1 (Old)'!D9))</f>
        <v>0</v>
      </c>
      <c r="J46" s="220">
        <f>SUM(_xlfn.TOCOL('BUILDING 1 (Old)'!D10))</f>
        <v>0</v>
      </c>
      <c r="K46" s="220">
        <f>SUM(_xlfn.TOCOL('BUILDING 1 (Old)'!D11))</f>
        <v>0</v>
      </c>
      <c r="L46" s="220">
        <f>SUM(_xlfn.TOCOL('BUILDING 1 (Old)'!D12))</f>
        <v>0</v>
      </c>
      <c r="M46" s="196"/>
    </row>
    <row r="47" spans="1:53" x14ac:dyDescent="0.3">
      <c r="B47" s="218" t="s">
        <v>106</v>
      </c>
      <c r="C47" s="194">
        <f>'PROJECT SUMMARY (Old)'!$B$14/500</f>
        <v>0</v>
      </c>
    </row>
    <row r="48" spans="1:53" x14ac:dyDescent="0.3">
      <c r="B48" s="218" t="s">
        <v>107</v>
      </c>
      <c r="C48" s="194">
        <f>IF('PROJECT SUMMARY (Old)'!$B$15&lt;10000,C49/10000,IF('PROJECT SUMMARY (Old)'!$B$15&lt;20000,C49/20000,C49/40000))</f>
        <v>0</v>
      </c>
      <c r="D48" s="194">
        <f>IF('PROJECT SUMMARY (Old)'!$B$15&lt;10000,D49/10000,IF('PROJECT SUMMARY (Old)'!$B$15&lt;20000,D49/20000,D49/40000))</f>
        <v>0</v>
      </c>
      <c r="E48" s="194">
        <f>IF('PROJECT SUMMARY (Old)'!$B$15&lt;10000,E49/10000,IF('PROJECT SUMMARY (Old)'!$B$15&lt;20000,E49/20000,E49/40000))</f>
        <v>0</v>
      </c>
      <c r="F48" s="194">
        <f>IF('PROJECT SUMMARY (Old)'!$B$15&lt;10000,F49/10000,IF('PROJECT SUMMARY (Old)'!$B$15&lt;20000,F49/20000,F49/40000))</f>
        <v>0</v>
      </c>
      <c r="G48" s="194">
        <f>IF('PROJECT SUMMARY (Old)'!$B$15&lt;10000,G49/10000,IF('PROJECT SUMMARY (Old)'!$B$15&lt;20000,G49/20000,G49/40000))</f>
        <v>0</v>
      </c>
      <c r="H48" s="194">
        <f>IF('PROJECT SUMMARY (Old)'!$B$15&lt;10000,H49/10000,IF('PROJECT SUMMARY (Old)'!$B$15&lt;20000,H49/20000,H49/40000))</f>
        <v>0</v>
      </c>
      <c r="I48" s="194">
        <f>IF('PROJECT SUMMARY (Old)'!$B$15&lt;10000,I49/10000,IF('PROJECT SUMMARY (Old)'!$B$15&lt;20000,I49/20000,I49/40000))</f>
        <v>0</v>
      </c>
      <c r="J48" s="194">
        <f>IF('PROJECT SUMMARY (Old)'!$B$15&lt;10000,J49/10000,IF('PROJECT SUMMARY (Old)'!$B$15&lt;20000,J49/20000,J49/40000))</f>
        <v>0</v>
      </c>
      <c r="K48" s="194">
        <f>IF('PROJECT SUMMARY (Old)'!$B$15&lt;10000,K49/10000,IF('PROJECT SUMMARY (Old)'!$B$15&lt;20000,K49/20000,K49/40000))</f>
        <v>0</v>
      </c>
      <c r="L48" s="194">
        <f>IF('PROJECT SUMMARY (Old)'!$B$15&lt;10000,L49/10000,IF('PROJECT SUMMARY (Old)'!$B$15&lt;20000,L49/20000,L49/40000))</f>
        <v>0</v>
      </c>
      <c r="M48" s="194">
        <f>IF('PROJECT SUMMARY (Old)'!$B$15&lt;10000,M49/10000,IF('PROJECT SUMMARY (Old)'!$B$15&lt;20000,M49/20000,M49/40000))</f>
        <v>0</v>
      </c>
      <c r="N48" s="194">
        <f>IF('PROJECT SUMMARY (Old)'!$B$15&lt;10000,N49/10000,IF('PROJECT SUMMARY (Old)'!$B$15&lt;20000,N49/20000,N49/40000))</f>
        <v>0</v>
      </c>
      <c r="O48" s="194">
        <f>IF('PROJECT SUMMARY (Old)'!$B$15&lt;10000,O49/10000,IF('PROJECT SUMMARY (Old)'!$B$15&lt;20000,O49/20000,O49/40000))</f>
        <v>0</v>
      </c>
      <c r="P48" s="194">
        <f>IF('PROJECT SUMMARY (Old)'!$B$15&lt;10000,P49/10000,IF('PROJECT SUMMARY (Old)'!$B$15&lt;20000,P49/20000,P49/40000))</f>
        <v>0</v>
      </c>
      <c r="Q48" s="194">
        <f>IF('PROJECT SUMMARY (Old)'!$B$15&lt;10000,Q49/10000,IF('PROJECT SUMMARY (Old)'!$B$15&lt;20000,Q49/20000,Q49/40000))</f>
        <v>0</v>
      </c>
      <c r="R48" s="194">
        <f>IF('PROJECT SUMMARY (Old)'!$B$15&lt;10000,R49/10000,IF('PROJECT SUMMARY (Old)'!$B$15&lt;20000,R49/20000,R49/40000))</f>
        <v>0</v>
      </c>
      <c r="S48" s="194">
        <f>IF('PROJECT SUMMARY (Old)'!$B$15&lt;10000,S49/10000,IF('PROJECT SUMMARY (Old)'!$B$15&lt;20000,S49/20000,S49/40000))</f>
        <v>0</v>
      </c>
      <c r="T48" s="194">
        <f>IF('PROJECT SUMMARY (Old)'!$B$15&lt;10000,T49/10000,IF('PROJECT SUMMARY (Old)'!$B$15&lt;20000,T49/20000,T49/40000))</f>
        <v>0</v>
      </c>
      <c r="U48" s="194">
        <f>IF('PROJECT SUMMARY (Old)'!$B$15&lt;10000,U49/10000,IF('PROJECT SUMMARY (Old)'!$B$15&lt;20000,U49/20000,U49/40000))</f>
        <v>0</v>
      </c>
      <c r="V48" s="194">
        <f>IF('PROJECT SUMMARY (Old)'!$B$15&lt;10000,V49/10000,IF('PROJECT SUMMARY (Old)'!$B$15&lt;20000,V49/20000,V49/40000))</f>
        <v>0</v>
      </c>
      <c r="W48" s="194">
        <f>IF('PROJECT SUMMARY (Old)'!$B$15&lt;10000,W49/10000,IF('PROJECT SUMMARY (Old)'!$B$15&lt;20000,W49/20000,W49/40000))</f>
        <v>0</v>
      </c>
      <c r="X48" s="194">
        <f>IF('PROJECT SUMMARY (Old)'!$B$15&lt;10000,X49/10000,IF('PROJECT SUMMARY (Old)'!$B$15&lt;20000,X49/20000,X49/40000))</f>
        <v>0</v>
      </c>
      <c r="Y48" s="194">
        <f>IF('PROJECT SUMMARY (Old)'!$B$15&lt;10000,Y49/10000,IF('PROJECT SUMMARY (Old)'!$B$15&lt;20000,Y49/20000,Y49/40000))</f>
        <v>0</v>
      </c>
      <c r="Z48" s="194">
        <f>IF('PROJECT SUMMARY (Old)'!$B$15&lt;10000,Z49/10000,IF('PROJECT SUMMARY (Old)'!$B$15&lt;20000,Z49/20000,Z49/40000))</f>
        <v>0</v>
      </c>
      <c r="AA48" s="194">
        <f>IF('PROJECT SUMMARY (Old)'!$B$15&lt;10000,AA49/10000,IF('PROJECT SUMMARY (Old)'!$B$15&lt;20000,AA49/20000,AA49/40000))</f>
        <v>0</v>
      </c>
      <c r="AB48" s="194">
        <f>IF('PROJECT SUMMARY (Old)'!$B$15&lt;10000,AB49/10000,IF('PROJECT SUMMARY (Old)'!$B$15&lt;20000,AB49/20000,AB49/40000))</f>
        <v>0</v>
      </c>
      <c r="AC48" s="194">
        <f>IF('PROJECT SUMMARY (Old)'!$B$15&lt;10000,AC49/10000,IF('PROJECT SUMMARY (Old)'!$B$15&lt;20000,AC49/20000,AC49/40000))</f>
        <v>0</v>
      </c>
      <c r="AD48" s="194">
        <f>IF('PROJECT SUMMARY (Old)'!$B$15&lt;10000,AD49/10000,IF('PROJECT SUMMARY (Old)'!$B$15&lt;20000,AD49/20000,AD49/40000))</f>
        <v>0</v>
      </c>
      <c r="AE48" s="194">
        <f>IF('PROJECT SUMMARY (Old)'!$B$15&lt;10000,AE49/10000,IF('PROJECT SUMMARY (Old)'!$B$15&lt;20000,AE49/20000,AE49/40000))</f>
        <v>0</v>
      </c>
      <c r="AF48" s="194">
        <f>IF('PROJECT SUMMARY (Old)'!$B$15&lt;10000,AF49/10000,IF('PROJECT SUMMARY (Old)'!$B$15&lt;20000,AF49/20000,AF49/40000))</f>
        <v>0</v>
      </c>
      <c r="AG48" s="194">
        <f>IF('PROJECT SUMMARY (Old)'!$B$15&lt;10000,AG49/10000,IF('PROJECT SUMMARY (Old)'!$B$15&lt;20000,AG49/20000,AG49/40000))</f>
        <v>0</v>
      </c>
      <c r="AH48" s="194">
        <f>IF('PROJECT SUMMARY (Old)'!$B$15&lt;10000,AH49/10000,IF('PROJECT SUMMARY (Old)'!$B$15&lt;20000,AH49/20000,AH49/40000))</f>
        <v>0</v>
      </c>
      <c r="AI48" s="194">
        <f>IF('PROJECT SUMMARY (Old)'!$B$15&lt;10000,AI49/10000,IF('PROJECT SUMMARY (Old)'!$B$15&lt;20000,AI49/20000,AI49/40000))</f>
        <v>0</v>
      </c>
      <c r="AJ48" s="194">
        <f>IF('PROJECT SUMMARY (Old)'!$B$15&lt;10000,AJ49/10000,IF('PROJECT SUMMARY (Old)'!$B$15&lt;20000,AJ49/20000,AJ49/40000))</f>
        <v>0</v>
      </c>
      <c r="AK48" s="194">
        <f>IF('PROJECT SUMMARY (Old)'!$B$15&lt;10000,AK49/10000,IF('PROJECT SUMMARY (Old)'!$B$15&lt;20000,AK49/20000,AK49/40000))</f>
        <v>0</v>
      </c>
      <c r="AL48" s="194">
        <f>IF('PROJECT SUMMARY (Old)'!$B$15&lt;10000,AL49/10000,IF('PROJECT SUMMARY (Old)'!$B$15&lt;20000,AL49/20000,AL49/40000))</f>
        <v>0</v>
      </c>
      <c r="AM48" s="194">
        <f>IF('PROJECT SUMMARY (Old)'!$B$15&lt;10000,AM49/10000,IF('PROJECT SUMMARY (Old)'!$B$15&lt;20000,AM49/20000,AM49/40000))</f>
        <v>0</v>
      </c>
      <c r="AN48" s="194">
        <f>IF('PROJECT SUMMARY (Old)'!$B$15&lt;10000,AN49/10000,IF('PROJECT SUMMARY (Old)'!$B$15&lt;20000,AN49/20000,AN49/40000))</f>
        <v>0</v>
      </c>
      <c r="AO48" s="194">
        <f>IF('PROJECT SUMMARY (Old)'!$B$15&lt;10000,AO49/10000,IF('PROJECT SUMMARY (Old)'!$B$15&lt;20000,AO49/20000,AO49/40000))</f>
        <v>0</v>
      </c>
      <c r="AP48" s="194">
        <f>IF('PROJECT SUMMARY (Old)'!$B$15&lt;10000,AP49/10000,IF('PROJECT SUMMARY (Old)'!$B$15&lt;20000,AP49/20000,AP49/40000))</f>
        <v>0</v>
      </c>
      <c r="AQ48" s="194">
        <f>IF('PROJECT SUMMARY (Old)'!$B$15&lt;10000,AQ49/10000,IF('PROJECT SUMMARY (Old)'!$B$15&lt;20000,AQ49/20000,AQ49/40000))</f>
        <v>0</v>
      </c>
      <c r="AR48" s="194">
        <f>IF('PROJECT SUMMARY (Old)'!$B$15&lt;10000,AR49/10000,IF('PROJECT SUMMARY (Old)'!$B$15&lt;20000,AR49/20000,AR49/40000))</f>
        <v>0</v>
      </c>
      <c r="AS48" s="194">
        <f>IF('PROJECT SUMMARY (Old)'!$B$15&lt;10000,AS49/10000,IF('PROJECT SUMMARY (Old)'!$B$15&lt;20000,AS49/20000,AS49/40000))</f>
        <v>0</v>
      </c>
      <c r="AT48" s="194">
        <f>IF('PROJECT SUMMARY (Old)'!$B$15&lt;10000,AT49/10000,IF('PROJECT SUMMARY (Old)'!$B$15&lt;20000,AT49/20000,AT49/40000))</f>
        <v>0</v>
      </c>
      <c r="AU48" s="194">
        <f>IF('PROJECT SUMMARY (Old)'!$B$15&lt;10000,AU49/10000,IF('PROJECT SUMMARY (Old)'!$B$15&lt;20000,AU49/20000,AU49/40000))</f>
        <v>0</v>
      </c>
      <c r="AV48" s="194">
        <f>IF('PROJECT SUMMARY (Old)'!$B$15&lt;10000,AV49/10000,IF('PROJECT SUMMARY (Old)'!$B$15&lt;20000,AV49/20000,AV49/40000))</f>
        <v>0</v>
      </c>
      <c r="AW48" s="194">
        <f>IF('PROJECT SUMMARY (Old)'!$B$15&lt;10000,AW49/10000,IF('PROJECT SUMMARY (Old)'!$B$15&lt;20000,AW49/20000,AW49/40000))</f>
        <v>0</v>
      </c>
      <c r="AX48" s="194">
        <f>IF('PROJECT SUMMARY (Old)'!$B$15&lt;10000,AX49/10000,IF('PROJECT SUMMARY (Old)'!$B$15&lt;20000,AX49/20000,AX49/40000))</f>
        <v>0</v>
      </c>
      <c r="AY48" s="194">
        <f>IF('PROJECT SUMMARY (Old)'!$B$15&lt;10000,AY49/10000,IF('PROJECT SUMMARY (Old)'!$B$15&lt;20000,AY49/20000,AY49/40000))</f>
        <v>0</v>
      </c>
      <c r="AZ48" s="194">
        <f>IF('PROJECT SUMMARY (Old)'!$B$15&lt;10000,AZ49/10000,IF('PROJECT SUMMARY (Old)'!$B$15&lt;20000,AZ49/20000,AZ49/40000))</f>
        <v>0</v>
      </c>
      <c r="BA48" s="196">
        <f>SUM(C48:AZ48)</f>
        <v>0</v>
      </c>
    </row>
    <row r="49" spans="2:52" x14ac:dyDescent="0.3">
      <c r="B49" s="219" t="s">
        <v>264</v>
      </c>
      <c r="C49" s="220">
        <f>SUM(_xlfn.TOCOL('BUILDING 1 (Old)'!D19))</f>
        <v>0</v>
      </c>
      <c r="D49" s="220">
        <f>SUM(_xlfn.TOCOL('BUILDING 1 (Old)'!D20))</f>
        <v>0</v>
      </c>
      <c r="E49" s="220">
        <f>SUM(_xlfn.TOCOL('BUILDING 1 (Old)'!D21))</f>
        <v>0</v>
      </c>
      <c r="F49" s="220">
        <f>SUM(_xlfn.TOCOL('BUILDING 1 (Old)'!D22))</f>
        <v>0</v>
      </c>
      <c r="G49" s="220">
        <f>SUM(_xlfn.TOCOL('BUILDING 1 (Old)'!D23))</f>
        <v>0</v>
      </c>
      <c r="H49" s="220">
        <f>SUM(_xlfn.TOCOL('BUILDING 1 (Old)'!D24))</f>
        <v>0</v>
      </c>
      <c r="I49" s="220">
        <f>SUM(_xlfn.TOCOL('BUILDING 1 (Old)'!D25))</f>
        <v>0</v>
      </c>
      <c r="J49" s="220">
        <f>SUM(_xlfn.TOCOL('BUILDING 1 (Old)'!D26))</f>
        <v>0</v>
      </c>
      <c r="K49" s="220">
        <f>SUM(_xlfn.TOCOL('BUILDING 1 (Old)'!D27))</f>
        <v>0</v>
      </c>
      <c r="L49" s="220">
        <f>SUM(_xlfn.TOCOL('BUILDING 1 (Old)'!D28))</f>
        <v>0</v>
      </c>
      <c r="M49" s="220">
        <f>SUM(_xlfn.TOCOL('BUILDING 1 (Old)'!D29))</f>
        <v>0</v>
      </c>
      <c r="N49" s="220">
        <f>SUM(_xlfn.TOCOL('BUILDING 1 (Old)'!D30))</f>
        <v>0</v>
      </c>
      <c r="O49" s="220">
        <f>SUM(_xlfn.TOCOL('BUILDING 1 (Old)'!D31))</f>
        <v>0</v>
      </c>
      <c r="P49" s="220">
        <f>SUM(_xlfn.TOCOL('BUILDING 1 (Old)'!D32))</f>
        <v>0</v>
      </c>
      <c r="Q49" s="220">
        <f>SUM(_xlfn.TOCOL('BUILDING 1 (Old)'!D33))</f>
        <v>0</v>
      </c>
      <c r="R49" s="220">
        <f>SUM(_xlfn.TOCOL('BUILDING 1 (Old)'!D34))</f>
        <v>0</v>
      </c>
      <c r="S49" s="220">
        <f>SUM(_xlfn.TOCOL('BUILDING 1 (Old)'!D35))</f>
        <v>0</v>
      </c>
      <c r="T49" s="220">
        <f>SUM(_xlfn.TOCOL('BUILDING 1 (Old)'!D36))</f>
        <v>0</v>
      </c>
      <c r="U49" s="220">
        <f>SUM(_xlfn.TOCOL('BUILDING 1 (Old)'!D37))</f>
        <v>0</v>
      </c>
      <c r="V49" s="220">
        <f>SUM(_xlfn.TOCOL('BUILDING 1 (Old)'!D38))</f>
        <v>0</v>
      </c>
      <c r="W49" s="220">
        <f>SUM(_xlfn.TOCOL('BUILDING 1 (Old)'!D39))</f>
        <v>0</v>
      </c>
      <c r="X49" s="220">
        <f>SUM(_xlfn.TOCOL('BUILDING 1 (Old)'!D40))</f>
        <v>0</v>
      </c>
      <c r="Y49" s="220">
        <f>SUM(_xlfn.TOCOL('BUILDING 1 (Old)'!D41))</f>
        <v>0</v>
      </c>
      <c r="Z49" s="220">
        <f>SUM(_xlfn.TOCOL('BUILDING 1 (Old)'!D42))</f>
        <v>0</v>
      </c>
      <c r="AA49" s="220">
        <f>SUM(_xlfn.TOCOL('BUILDING 1 (Old)'!D43))</f>
        <v>0</v>
      </c>
      <c r="AB49" s="220">
        <f>SUM(_xlfn.TOCOL('BUILDING 1 (Old)'!D44))</f>
        <v>0</v>
      </c>
      <c r="AC49" s="220">
        <f>SUM(_xlfn.TOCOL('BUILDING 1 (Old)'!D45))</f>
        <v>0</v>
      </c>
      <c r="AD49" s="220">
        <f>SUM(_xlfn.TOCOL('BUILDING 1 (Old)'!D46))</f>
        <v>0</v>
      </c>
      <c r="AE49" s="220">
        <f>SUM(_xlfn.TOCOL('BUILDING 1 (Old)'!D47))</f>
        <v>0</v>
      </c>
      <c r="AF49" s="220">
        <f>SUM(_xlfn.TOCOL('BUILDING 1 (Old)'!D48))</f>
        <v>0</v>
      </c>
      <c r="AG49" s="220">
        <f>SUM(_xlfn.TOCOL('BUILDING 1 (Old)'!D49))</f>
        <v>0</v>
      </c>
      <c r="AH49" s="220">
        <f>SUM(_xlfn.TOCOL('BUILDING 1 (Old)'!D50))</f>
        <v>0</v>
      </c>
      <c r="AI49" s="220">
        <f>SUM(_xlfn.TOCOL('BUILDING 1 (Old)'!D51))</f>
        <v>0</v>
      </c>
      <c r="AJ49" s="220">
        <f>SUM(_xlfn.TOCOL('BUILDING 1 (Old)'!D52))</f>
        <v>0</v>
      </c>
      <c r="AK49" s="220">
        <f>SUM(_xlfn.TOCOL('BUILDING 1 (Old)'!D53))</f>
        <v>0</v>
      </c>
      <c r="AL49" s="220">
        <f>SUM(_xlfn.TOCOL('BUILDING 1 (Old)'!D54))</f>
        <v>0</v>
      </c>
      <c r="AM49" s="220">
        <f>SUM(_xlfn.TOCOL('BUILDING 1 (Old)'!D55))</f>
        <v>0</v>
      </c>
      <c r="AN49" s="220">
        <f>SUM(_xlfn.TOCOL('BUILDING 1 (Old)'!D56))</f>
        <v>0</v>
      </c>
      <c r="AO49" s="220">
        <f>SUM(_xlfn.TOCOL('BUILDING 1 (Old)'!D57))</f>
        <v>0</v>
      </c>
      <c r="AP49" s="220">
        <f>SUM(_xlfn.TOCOL('BUILDING 1 (Old)'!D58))</f>
        <v>0</v>
      </c>
      <c r="AQ49" s="220">
        <f>SUM(_xlfn.TOCOL('BUILDING 1 (Old)'!D59))</f>
        <v>0</v>
      </c>
      <c r="AR49" s="220">
        <f>SUM(_xlfn.TOCOL('BUILDING 1 (Old)'!D60))</f>
        <v>0</v>
      </c>
      <c r="AS49" s="220">
        <f>SUM(_xlfn.TOCOL('BUILDING 1 (Old)'!D61))</f>
        <v>0</v>
      </c>
      <c r="AT49" s="220">
        <f>SUM(_xlfn.TOCOL('BUILDING 1 (Old)'!D62))</f>
        <v>0</v>
      </c>
      <c r="AU49" s="220">
        <f>SUM(_xlfn.TOCOL('BUILDING 1 (Old)'!D63))</f>
        <v>0</v>
      </c>
      <c r="AV49" s="220">
        <f>SUM(_xlfn.TOCOL('BUILDING 1 (Old)'!D64))</f>
        <v>0</v>
      </c>
      <c r="AW49" s="220">
        <f>SUM(_xlfn.TOCOL('BUILDING 1 (Old)'!D65))</f>
        <v>0</v>
      </c>
      <c r="AX49" s="220">
        <f>SUM(_xlfn.TOCOL('BUILDING 1 (Old)'!D66))</f>
        <v>0</v>
      </c>
      <c r="AY49" s="220">
        <f>SUM(_xlfn.TOCOL('BUILDING 1 (Old)'!D67))</f>
        <v>0</v>
      </c>
      <c r="AZ49" s="220">
        <f>SUM(_xlfn.TOCOL('BUILDING 1 (Old)'!D68))</f>
        <v>0</v>
      </c>
    </row>
    <row r="50" spans="2:52" x14ac:dyDescent="0.3">
      <c r="B50" s="218" t="s">
        <v>99</v>
      </c>
      <c r="C50" s="221">
        <f>+'PROJECT SUMMARY (Old)'!B3*0.1</f>
        <v>0</v>
      </c>
    </row>
    <row r="51" spans="2:52" x14ac:dyDescent="0.3">
      <c r="B51" s="218" t="s">
        <v>100</v>
      </c>
      <c r="C51" s="194">
        <f>('PROJECT SUMMARY (Old)'!B4/50)*8</f>
        <v>0</v>
      </c>
      <c r="E51" s="196"/>
    </row>
    <row r="52" spans="2:52" x14ac:dyDescent="0.3">
      <c r="B52" s="218" t="s">
        <v>108</v>
      </c>
      <c r="C52" s="194">
        <f>+'PROJECT SUMMARY (Old)'!B8*4</f>
        <v>0</v>
      </c>
    </row>
    <row r="53" spans="2:52" x14ac:dyDescent="0.3">
      <c r="B53" s="218" t="s">
        <v>109</v>
      </c>
      <c r="C53" s="194">
        <f>+'PROJECT SUMMARY (Old)'!B9*0.25</f>
        <v>0</v>
      </c>
    </row>
    <row r="54" spans="2:52" x14ac:dyDescent="0.3">
      <c r="B54" s="218" t="s">
        <v>110</v>
      </c>
      <c r="C54" s="221">
        <f>+'PROJECT SUMMARY (Old)'!B10*0.5</f>
        <v>0</v>
      </c>
    </row>
    <row r="55" spans="2:52" x14ac:dyDescent="0.3">
      <c r="B55" s="218" t="s">
        <v>111</v>
      </c>
      <c r="C55" s="194">
        <f>+'PROJECT SUMMARY (Old)'!B11</f>
        <v>0</v>
      </c>
    </row>
    <row r="56" spans="2:52" x14ac:dyDescent="0.3">
      <c r="B56" s="218" t="s">
        <v>112</v>
      </c>
      <c r="C56" s="221">
        <f>+'PROJECT SUMMARY (Old)'!B12*1.2</f>
        <v>0</v>
      </c>
    </row>
    <row r="57" spans="2:52" x14ac:dyDescent="0.3">
      <c r="B57" s="222"/>
    </row>
    <row r="58" spans="2:52" x14ac:dyDescent="0.3">
      <c r="B58" s="218" t="s">
        <v>114</v>
      </c>
      <c r="C58" s="221">
        <f>IF('PROJECT SUMMARY (Old)'!$B$15&lt;10000,C53+3,IF('PROJECT SUMMARY (Old)'!$B$15&lt;20000,C53*1.25+6,C53*2+9))</f>
        <v>3</v>
      </c>
    </row>
    <row r="59" spans="2:52" x14ac:dyDescent="0.3">
      <c r="B59" s="218" t="s">
        <v>115</v>
      </c>
      <c r="C59" s="221">
        <f>IF('PROJECT SUMMARY (Old)'!$B$15&lt;10000,C54+3,IF('PROJECT SUMMARY (Old)'!$B$15&lt;20000,C54+4,C54*2+9))</f>
        <v>3</v>
      </c>
    </row>
    <row r="60" spans="2:52" x14ac:dyDescent="0.3">
      <c r="B60" s="218" t="s">
        <v>116</v>
      </c>
      <c r="C60" s="221">
        <f>IF('PROJECT SUMMARY (Old)'!$B$15&lt;10000,C56+2,IF('PROJECT SUMMARY (Old)'!$B$15&lt;20000,C56+6,C56+18))</f>
        <v>2</v>
      </c>
    </row>
    <row r="61" spans="2:52" x14ac:dyDescent="0.3">
      <c r="B61" s="218" t="s">
        <v>117</v>
      </c>
      <c r="C61" s="221">
        <f>IF('PROJECT SUMMARY (Old)'!$B$15&lt;10000,C50+M45+1,IF('PROJECT SUMMARY (Old)'!$B$15&lt;20000,C50+M45+2,C50+M45+3))</f>
        <v>1</v>
      </c>
    </row>
    <row r="62" spans="2:52" x14ac:dyDescent="0.3">
      <c r="B62" s="218" t="s">
        <v>118</v>
      </c>
      <c r="C62" s="221">
        <f>+C47</f>
        <v>0</v>
      </c>
    </row>
    <row r="63" spans="2:52" x14ac:dyDescent="0.3">
      <c r="B63" s="218" t="s">
        <v>119</v>
      </c>
      <c r="C63" s="221">
        <f>IF('PROJECT SUMMARY (Old)'!$B$15&lt;10000,1.7*(BA48+1),IF('PROJECT SUMMARY (Old)'!$B$15&lt;20000,1.7*(BA48+2),1.7*(BA48+3)))</f>
        <v>1.7</v>
      </c>
    </row>
    <row r="64" spans="2:52" x14ac:dyDescent="0.3">
      <c r="B64" s="218" t="s">
        <v>120</v>
      </c>
      <c r="C64" s="221">
        <f>IF('PROJECT SUMMARY (Old)'!$B$15&lt;10000,1.7*(BA48+1),IF('PROJECT SUMMARY (Old)'!$B$15&lt;20000,1.7*(BA48+2),1.7*(BA48+3)))</f>
        <v>1.7</v>
      </c>
    </row>
    <row r="65" spans="2:8" x14ac:dyDescent="0.3">
      <c r="D65" s="196"/>
      <c r="E65" s="196"/>
    </row>
    <row r="66" spans="2:8" x14ac:dyDescent="0.3">
      <c r="B66" s="216" t="s">
        <v>133</v>
      </c>
      <c r="C66" s="216" t="s">
        <v>395</v>
      </c>
      <c r="D66" s="216" t="s">
        <v>396</v>
      </c>
      <c r="E66" s="216" t="s">
        <v>397</v>
      </c>
      <c r="F66" s="216" t="s">
        <v>281</v>
      </c>
      <c r="G66" s="216" t="s">
        <v>94</v>
      </c>
      <c r="H66" s="216" t="s">
        <v>206</v>
      </c>
    </row>
    <row r="67" spans="2:8" x14ac:dyDescent="0.3">
      <c r="B67" s="218" t="s">
        <v>135</v>
      </c>
      <c r="C67" s="194">
        <v>0</v>
      </c>
      <c r="D67" s="194">
        <v>0</v>
      </c>
      <c r="E67" s="194">
        <v>0</v>
      </c>
      <c r="F67" s="194">
        <v>0</v>
      </c>
      <c r="G67" s="194">
        <v>0</v>
      </c>
      <c r="H67" s="194">
        <v>0</v>
      </c>
    </row>
    <row r="68" spans="2:8" x14ac:dyDescent="0.3">
      <c r="B68" s="218" t="s">
        <v>277</v>
      </c>
      <c r="C68" s="221">
        <f>'PROJECT SUMMARY (Old)'!$J$10+'PROJECT SUMMARY (Old)'!J12</f>
        <v>0</v>
      </c>
      <c r="D68" s="221">
        <f>('PROJECT SUMMARY (Old)'!$G$5+'PROJECT SUMMARY (Old)'!$J$9+'PROJECT SUMMARY (Old)'!J11)</f>
        <v>0</v>
      </c>
      <c r="E68" s="221">
        <f>+'PROJECT SUMMARY (Old)'!$G$5+SUM($G$68:$H$68)*0.05</f>
        <v>0</v>
      </c>
      <c r="F68" s="221">
        <f>(BUDGET!$J$536+$E$68)*0.5</f>
        <v>0</v>
      </c>
      <c r="G68" s="223">
        <f>IF('PROJECT SUMMARY (Old)'!$S$6&lt;0.1,IF('PROJECT SUMMARY (Old)'!$B$15&lt;10000,$C$68*4,IF('PROJECT SUMMARY (Old)'!$B$15&lt;20000,$C$68*3,$C$68*2.6)),'PROJECT SUMMARY (Old)'!$S$6)</f>
        <v>0</v>
      </c>
      <c r="H68" s="194">
        <f>ROUNDUP('PROJECT SUMMARY (Old)'!$D$4*'PROJECT SUMMARY (Old)'!$D$10+'PROJECT SUMMARY (Old)'!$B$3/35,0)</f>
        <v>0</v>
      </c>
    </row>
    <row r="69" spans="2:8" x14ac:dyDescent="0.3">
      <c r="B69" s="218" t="s">
        <v>121</v>
      </c>
      <c r="C69" s="221">
        <f>+'PROJECT SUMMARY (Old)'!$B$6/6+$C$68</f>
        <v>0</v>
      </c>
      <c r="D69" s="221">
        <f>+'PROJECT SUMMARY (Old)'!$B$6/6+$D$68+'PROJECT SUMMARY (Old)'!$J$8</f>
        <v>0</v>
      </c>
      <c r="E69" s="221">
        <f>+'PROJECT SUMMARY (Old)'!$G$5+SUM($G$69:$H$69)*0.05</f>
        <v>0</v>
      </c>
      <c r="F69" s="221">
        <f>(BUDGET!$J$536+$E$69)*0.5</f>
        <v>0</v>
      </c>
      <c r="G69" s="223">
        <f>IF('PROJECT SUMMARY (Old)'!$S$4+'PROJECT SUMMARY (Old)'!$S$6&lt;0.1,IF('PROJECT SUMMARY (Old)'!$B$15&lt;10000,$C$69*4*0.75,IF('PROJECT SUMMARY (Old)'!$B$15&lt;20000,$C$69*3*0.75,$C$69*2.6*0.75)),'PROJECT SUMMARY (Old)'!$S$4+'PROJECT SUMMARY (Old)'!$S$6)</f>
        <v>0</v>
      </c>
      <c r="H69" s="223">
        <f>ROUNDUP('PROJECT SUMMARY (Old)'!$D$12*'PROJECT SUMMARY (Old)'!$D$6+'PROJECT SUMMARY (Old)'!$B$4/35,0)+$H$68</f>
        <v>0</v>
      </c>
    </row>
    <row r="70" spans="2:8" x14ac:dyDescent="0.3">
      <c r="B70" s="218" t="s">
        <v>123</v>
      </c>
      <c r="C70" s="221">
        <f>+'PROJECT SUMMARY (Old)'!$B$6/6+$C$68+'PROJECT SUMMARY (Old)'!$B$7/10</f>
        <v>0</v>
      </c>
      <c r="D70" s="221">
        <f>+'PROJECT SUMMARY (Old)'!$B$6/6+$D$68+'PROJECT SUMMARY (Old)'!$J$8+'PROJECT SUMMARY (Old)'!$B$7/10</f>
        <v>0</v>
      </c>
      <c r="E70" s="221">
        <f>+'PROJECT SUMMARY (Old)'!$G$5+SUM($G$70:$H$70)*0.05</f>
        <v>0</v>
      </c>
      <c r="F70" s="221">
        <f>(BUDGET!$J$536+$E$70)*0.5</f>
        <v>0</v>
      </c>
      <c r="G70" s="223">
        <f>+G69+G71</f>
        <v>0</v>
      </c>
      <c r="H70" s="223">
        <f>+H69+H71</f>
        <v>0</v>
      </c>
    </row>
    <row r="71" spans="2:8" x14ac:dyDescent="0.3">
      <c r="B71" s="218" t="s">
        <v>122</v>
      </c>
      <c r="C71" s="221">
        <f>+'PROJECT SUMMARY (Old)'!$B$7/10+'PROJECT SUMMARY (Old)'!J12</f>
        <v>0</v>
      </c>
      <c r="D71" s="221">
        <f>+'PROJECT SUMMARY (Old)'!$B$7/10+'PROJECT SUMMARY (Old)'!J8+'PROJECT SUMMARY (Old)'!J11</f>
        <v>0</v>
      </c>
      <c r="E71" s="221">
        <f>+'PROJECT SUMMARY (Old)'!$G$5+SUM($G$71:$H$71)*0.05</f>
        <v>0</v>
      </c>
      <c r="F71" s="221">
        <f>(BUDGET!$J$536+$E$71)*0.5</f>
        <v>0</v>
      </c>
      <c r="G71" s="223">
        <f>IF('PROJECT SUMMARY (Old)'!S8&lt;0.1,IF('PROJECT SUMMARY (Old)'!$B$15&lt;10000,C71*4.25,IF('PROJECT SUMMARY (Old)'!$B$15&lt;20000,C71*3,C71*3)),'PROJECT SUMMARY (Old)'!S8)</f>
        <v>0</v>
      </c>
      <c r="H71" s="223">
        <f>'PROJECT SUMMARY (Old)'!$D$13*'PROJECT SUMMARY (Old)'!$D$7+'PROJECT SUMMARY (Old)'!$B$7/35</f>
        <v>0</v>
      </c>
    </row>
    <row r="72" spans="2:8" x14ac:dyDescent="0.3">
      <c r="B72" s="218" t="s">
        <v>124</v>
      </c>
      <c r="C72" s="221">
        <f>MROUND(C52,0.25)</f>
        <v>0</v>
      </c>
      <c r="D72" s="221">
        <f>+C72</f>
        <v>0</v>
      </c>
      <c r="E72" s="221">
        <f>(0.075*BUDGET!$E$541)+(0.15*BUDGET!$E$540)</f>
        <v>0</v>
      </c>
      <c r="F72" s="221">
        <f>(BUDGET!$J$536+E72)*0.5</f>
        <v>0</v>
      </c>
      <c r="G72" s="223">
        <f>20+(('PROJECT SUMMARY (Old)'!B8-1)*5)</f>
        <v>15</v>
      </c>
      <c r="H72" s="194">
        <v>0</v>
      </c>
    </row>
    <row r="73" spans="2:8" x14ac:dyDescent="0.3">
      <c r="B73" s="218" t="s">
        <v>129</v>
      </c>
      <c r="C73" s="221">
        <f>MROUND(C58,0.25)</f>
        <v>3</v>
      </c>
      <c r="D73" s="221">
        <f>+C73</f>
        <v>3</v>
      </c>
      <c r="E73" s="221">
        <f>(0.075*BUDGET!$E$541)+(0.15*BUDGET!$E$540)</f>
        <v>0</v>
      </c>
      <c r="F73" s="221">
        <f>(BUDGET!$J$536+E73)*0.5</f>
        <v>0</v>
      </c>
      <c r="G73" s="223">
        <f>IF('PROJECT SUMMARY (Old)'!$B$15&lt;10000,20+(('PROJECT SUMMARY (Old)'!B9-10)*0.5),IF('PROJECT SUMMARY (Old)'!$B$15&lt;20000,25+(('PROJECT SUMMARY (Old)'!B9-10)*0.5),30+(('PROJECT SUMMARY (Old)'!B9-10)*0.5)))</f>
        <v>15</v>
      </c>
      <c r="H73" s="194">
        <f>ROUNDUP(IF('PROJECT SUMMARY (Old)'!B16/10000&gt;'PROJECT SUMMARY (Old)'!B3/50,'PROJECT SUMMARY (Old)'!B16/10000,'PROJECT SUMMARY (Old)'!B3/50),0)</f>
        <v>0</v>
      </c>
    </row>
    <row r="74" spans="2:8" x14ac:dyDescent="0.3">
      <c r="B74" s="218" t="s">
        <v>125</v>
      </c>
      <c r="C74" s="221">
        <f>MROUND(SUM(C58:C59),0.25)</f>
        <v>6</v>
      </c>
      <c r="D74" s="221">
        <f>+C74+'PROJECT SUMMARY (Old)'!J8</f>
        <v>6</v>
      </c>
      <c r="E74" s="221">
        <f>(0.075*BUDGET!$E$541)+(0.15*BUDGET!$E$540)</f>
        <v>0</v>
      </c>
      <c r="F74" s="221">
        <f>(BUDGET!$J$536+E74)*0.5</f>
        <v>0</v>
      </c>
      <c r="G74" s="223">
        <f>IF('PROJECT SUMMARY (Old)'!$B$15&lt;10000,20+((('PROJECT SUMMARY (Old)'!B9+'PROJECT SUMMARY (Old)'!B10)/2-5)*1.05),IF('PROJECT SUMMARY (Old)'!$B$15&lt;20000,25+((('PROJECT SUMMARY (Old)'!B9+'PROJECT SUMMARY (Old)'!B10)/2-5)*1.05),30+((('PROJECT SUMMARY (Old)'!B9+'PROJECT SUMMARY (Old)'!B10)/2-5)*1.05)))</f>
        <v>14.75</v>
      </c>
      <c r="H74" s="194">
        <f>ROUNDUP('PROJECT SUMMARY (Old)'!B15/10000,0)+H73</f>
        <v>0</v>
      </c>
    </row>
    <row r="75" spans="2:8" x14ac:dyDescent="0.3">
      <c r="B75" s="218" t="s">
        <v>116</v>
      </c>
      <c r="C75" s="221">
        <f>MROUND($C$60,0.25)</f>
        <v>2</v>
      </c>
      <c r="D75" s="221">
        <f>+C75</f>
        <v>2</v>
      </c>
      <c r="E75" s="221">
        <f>(0.075*BUDGET!$E$541)+(0.15*BUDGET!$E$540)</f>
        <v>0</v>
      </c>
      <c r="F75" s="221">
        <f>(BUDGET!$J$536+E75)*0.5</f>
        <v>0</v>
      </c>
      <c r="G75" s="223">
        <f>20+(('PROJECT SUMMARY (Old)'!$B$12-5)*1.05)</f>
        <v>14.75</v>
      </c>
      <c r="H75" s="194">
        <f>ROUNDUP('PROJECT SUMMARY (Old)'!B15/10000,0)</f>
        <v>0</v>
      </c>
    </row>
    <row r="76" spans="2:8" x14ac:dyDescent="0.3">
      <c r="B76" s="218" t="s">
        <v>272</v>
      </c>
      <c r="C76" s="221">
        <f>MROUND($C$60,0.25)</f>
        <v>2</v>
      </c>
      <c r="D76" s="221">
        <f>+C76</f>
        <v>2</v>
      </c>
      <c r="E76" s="221">
        <f>(0.075*BUDGET!$E$541)+(0.15*BUDGET!$E$540)</f>
        <v>0</v>
      </c>
      <c r="F76" s="221">
        <f>(BUDGET!$J$536+E76)*0.5</f>
        <v>0</v>
      </c>
      <c r="G76" s="223">
        <f>20+(('PROJECT SUMMARY (Old)'!$B$11-5)*1.05)</f>
        <v>14.75</v>
      </c>
      <c r="H76" s="194">
        <f>+'PROJECT SUMMARY (Old)'!B11</f>
        <v>0</v>
      </c>
    </row>
    <row r="77" spans="2:8" x14ac:dyDescent="0.3">
      <c r="B77" s="218" t="s">
        <v>271</v>
      </c>
      <c r="C77" s="194">
        <v>5</v>
      </c>
      <c r="D77" s="221">
        <f>+C77+'PROJECT SUMMARY (Old)'!J8</f>
        <v>5</v>
      </c>
      <c r="E77" s="221">
        <f>(0.075*BUDGET!$E$541)+(0.15*BUDGET!$E$540)</f>
        <v>0</v>
      </c>
      <c r="F77" s="221">
        <f>(BUDGET!$J$536+E77)*0.5</f>
        <v>0</v>
      </c>
      <c r="G77" s="223">
        <v>7</v>
      </c>
      <c r="H77" s="194">
        <f>ROUNDUP('PROJECT SUMMARY (Old)'!B15/10000,0)</f>
        <v>0</v>
      </c>
    </row>
    <row r="78" spans="2:8" x14ac:dyDescent="0.3">
      <c r="B78" s="218" t="s">
        <v>127</v>
      </c>
      <c r="C78" s="221">
        <f>MROUND(IF('PROJECT SUMMARY (Old)'!$B$15&lt;10000,C60+2.5*(1+BA48),IF('PROJECT SUMMARY (Old)'!$B$15&lt;20000,C60+2.5*(2+BA48),C60+2.5*(3+BA48))),0.25)</f>
        <v>4.5</v>
      </c>
      <c r="D78" s="221">
        <f>+C78</f>
        <v>4.5</v>
      </c>
      <c r="E78" s="221">
        <f>(0.075*BUDGET!$E$541)+(0.15*BUDGET!$E$540)</f>
        <v>0</v>
      </c>
      <c r="F78" s="221">
        <f>(BUDGET!$J$536+E78)*0.5</f>
        <v>0</v>
      </c>
      <c r="G78" s="223">
        <f>20+(('PROJECT SUMMARY (Old)'!B12-1)*2)</f>
        <v>18</v>
      </c>
      <c r="H78" s="194">
        <f>ROUNDUP('PROJECT SUMMARY (Old)'!B15/10000,0)</f>
        <v>0</v>
      </c>
    </row>
    <row r="79" spans="2:8" x14ac:dyDescent="0.3">
      <c r="B79" s="218" t="s">
        <v>126</v>
      </c>
      <c r="C79" s="221">
        <f>IF('PROJECT SUMMARY (Old)'!J15&gt;0,'PROJECT SUMMARY (Old)'!J15+'PROJECT SUMMARY (Old)'!J12,MROUND(C51,0.25)+'PROJECT SUMMARY (Old)'!J12)</f>
        <v>0</v>
      </c>
      <c r="D79" s="221">
        <f>+'PROJECT SUMMARY (Old)'!$B$4/3.125+'PROJECT SUMMARY (Old)'!$G$6+'PROJECT SUMMARY (Old)'!J8</f>
        <v>0</v>
      </c>
      <c r="E79" s="221">
        <f>+'PROJECT SUMMARY (Old)'!$G$6+SUM($G$79:$H$79)*0.05</f>
        <v>3.6175950000000001</v>
      </c>
      <c r="F79" s="221">
        <f>+$E$79*0.5+BUDGET!$J$536*0.5</f>
        <v>1.8087975000000001</v>
      </c>
      <c r="G79" s="223">
        <f>IF('PROJECT SUMMARY (Old)'!$S$5&lt;0.1,75.45+(1.6934*BUDGET!$J$6)-4.7915,'PROJECT SUMMARY (Old)'!$S$5)</f>
        <v>72.351900000000001</v>
      </c>
      <c r="H79" s="223">
        <f>'PROJECT SUMMARY (Old)'!$D$3*'PROJECT SUMMARY (Old)'!$D$9+'PROJECT SUMMARY (Old)'!$B$4/35</f>
        <v>0</v>
      </c>
    </row>
    <row r="80" spans="2:8" x14ac:dyDescent="0.3">
      <c r="B80" s="218" t="s">
        <v>398</v>
      </c>
      <c r="C80" s="224">
        <f>+'PROJECT SUMMARY (Old)'!$B$6/6+$C$68+IF('PROJECT SUMMARY (Old)'!J15&gt;0,'PROJECT SUMMARY (Old)'!J15,MROUND(C51,0.25))</f>
        <v>0</v>
      </c>
      <c r="D80" s="224">
        <f>+'PROJECT SUMMARY (Old)'!$B$6/6+$D$68+'PROJECT SUMMARY (Old)'!$J$8+'PROJECT SUMMARY (Old)'!$B$4/3.125+'PROJECT SUMMARY (Old)'!$G$6</f>
        <v>0</v>
      </c>
      <c r="E80" s="221">
        <f>+E69+E79</f>
        <v>3.6175950000000001</v>
      </c>
      <c r="F80" s="221">
        <f>(BUDGET!$J$536+E80)*0.5</f>
        <v>1.8087975000000001</v>
      </c>
      <c r="G80" s="223">
        <f>+G79+G69</f>
        <v>72.351900000000001</v>
      </c>
      <c r="H80" s="223">
        <f>+H79+H69</f>
        <v>0</v>
      </c>
    </row>
    <row r="81" spans="2:10" x14ac:dyDescent="0.3">
      <c r="B81" s="218" t="s">
        <v>130</v>
      </c>
      <c r="C81" s="221">
        <f>MROUND(C63,0.25)+'PROJECT SUMMARY (Old)'!J12</f>
        <v>1.75</v>
      </c>
      <c r="D81" s="221">
        <f>+C81+'PROJECT SUMMARY (Old)'!J8</f>
        <v>1.75</v>
      </c>
      <c r="E81" s="221">
        <f>(0.075*BUDGET!$E$541)+(0.15*BUDGET!$E$540)</f>
        <v>0</v>
      </c>
      <c r="F81" s="221">
        <f>(BUDGET!$J$536+E81)*0.5</f>
        <v>0</v>
      </c>
      <c r="G81" s="223">
        <f>IF('PROJECT SUMMARY (Old)'!$B$15&lt;10000,C81*4,IF('PROJECT SUMMARY (Old)'!$B$15&lt;20000,C81*3*1.25,C81*3*1.1))</f>
        <v>7</v>
      </c>
      <c r="H81" s="194">
        <f>ROUNDUP('PROJECT SUMMARY (Old)'!B15/10000,0)</f>
        <v>0</v>
      </c>
    </row>
    <row r="82" spans="2:10" x14ac:dyDescent="0.3">
      <c r="B82" s="218" t="s">
        <v>131</v>
      </c>
      <c r="C82" s="194" t="s">
        <v>262</v>
      </c>
      <c r="D82" s="194" t="s">
        <v>262</v>
      </c>
      <c r="E82" s="221">
        <f>(0.075*BUDGET!$E$541)+(0.15*BUDGET!$E$540)</f>
        <v>0</v>
      </c>
      <c r="F82" s="221">
        <f>(BUDGET!$J$536+E82)*0.5</f>
        <v>0</v>
      </c>
      <c r="G82" s="194" t="str">
        <f>IF('PROJECT SUMMARY (Old)'!S7&lt;1,"UNAVAIL. - SEE BILL",'PROJECT SUMMARY (Old)'!S7)</f>
        <v>UNAVAIL. - SEE BILL</v>
      </c>
      <c r="H82" s="194">
        <f>'PROJECT SUMMARY (Old)'!$D$5*'PROJECT SUMMARY (Old)'!$D$11+'PROJECT SUMMARY (Old)'!$B$5/35</f>
        <v>0</v>
      </c>
    </row>
    <row r="83" spans="2:10" x14ac:dyDescent="0.3">
      <c r="B83" s="218" t="s">
        <v>132</v>
      </c>
      <c r="C83" s="194" t="s">
        <v>262</v>
      </c>
      <c r="D83" s="194" t="s">
        <v>262</v>
      </c>
      <c r="E83" s="221">
        <f>(0.075*BUDGET!$E$541)+(0.15*BUDGET!$E$540)</f>
        <v>0</v>
      </c>
      <c r="F83" s="221">
        <f>(BUDGET!$J$536+E83)*0.5</f>
        <v>0</v>
      </c>
      <c r="G83" s="194" t="s">
        <v>262</v>
      </c>
      <c r="H83" s="194">
        <f>ROUNDUP('PROJECT SUMMARY (Old)'!B15/10000,0)</f>
        <v>0</v>
      </c>
    </row>
    <row r="87" spans="2:10" x14ac:dyDescent="0.3">
      <c r="D87" s="214"/>
    </row>
    <row r="93" spans="2:10" x14ac:dyDescent="0.3">
      <c r="C93" s="196" t="s">
        <v>298</v>
      </c>
      <c r="D93" s="196" t="s">
        <v>299</v>
      </c>
      <c r="E93" s="196" t="s">
        <v>104</v>
      </c>
      <c r="F93" s="196" t="s">
        <v>312</v>
      </c>
      <c r="G93" s="196" t="s">
        <v>309</v>
      </c>
      <c r="H93" s="196" t="s">
        <v>310</v>
      </c>
      <c r="I93" s="196" t="s">
        <v>308</v>
      </c>
      <c r="J93" s="196" t="s">
        <v>311</v>
      </c>
    </row>
    <row r="94" spans="2:10" x14ac:dyDescent="0.3">
      <c r="B94" s="196" t="s">
        <v>211</v>
      </c>
      <c r="C94" s="194">
        <f>IF(ISBLANK('BUILDING 1 (Old)'!B7),'BUILDING 1 (Old)'!B6,'BUILDING 1 (Old)'!B7)</f>
        <v>0</v>
      </c>
      <c r="D94" s="194">
        <f>IF(ISBLANK('BUILDING 1 (Old)'!B9),'BUILDING 1 (Old)'!B8,'BUILDING 1 (Old)'!B9)</f>
        <v>0</v>
      </c>
      <c r="E94" s="194">
        <f>IF(ISBLANK('BUILDING 1 (Old)'!B15),'BUILDING 1 (Old)'!B14,'BUILDING 1 (Old)'!B15)</f>
        <v>0</v>
      </c>
      <c r="F94" s="194">
        <f>IF(ISBLANK('BUILDING 1 (Old)'!F10),'BUILDING 1 (Old)'!F9,'BUILDING 1 (Old)'!F10)</f>
        <v>0</v>
      </c>
      <c r="G94" s="194">
        <f>IF(ISBLANK('BUILDING 1 (Old)'!F12),'BUILDING 1 (Old)'!F11,'BUILDING 1 (Old)'!F12)</f>
        <v>0</v>
      </c>
      <c r="H94" s="194">
        <f>IF(ISBLANK('BUILDING 1 (Old)'!F14),'BUILDING 1 (Old)'!F13,'BUILDING 1 (Old)'!F14)</f>
        <v>0</v>
      </c>
      <c r="I94" s="194">
        <f>IF(ISBLANK('BUILDING 1 (Old)'!F16),'BUILDING 1 (Old)'!F15,'BUILDING 1 (Old)'!F16)</f>
        <v>0</v>
      </c>
      <c r="J94" s="194">
        <f>IF(ISBLANK('BUILDING 1 (Old)'!F18),'BUILDING 1 (Old)'!F17,'BUILDING 1 (Old)'!F18)</f>
        <v>0</v>
      </c>
    </row>
  </sheetData>
  <sheetProtection selectLockedCells="1" selectUnlockedCells="1"/>
  <phoneticPr fontId="25" type="noConversion"/>
  <pageMargins left="0.65732939632545895" right="0.65732939632545895" top="0.20428149600000001" bottom="0.70428149606299195" header="0.28171259842519702" footer="0.28171259842519702"/>
  <pageSetup scale="61"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EA397-BFDB-4F9B-AE6A-7BBDFA30B898}">
  <sheetPr codeName="Sheet1"/>
  <dimension ref="B2:K38"/>
  <sheetViews>
    <sheetView workbookViewId="0">
      <selection activeCell="B7" sqref="B7:B10"/>
    </sheetView>
  </sheetViews>
  <sheetFormatPr defaultColWidth="9" defaultRowHeight="14.4" x14ac:dyDescent="0.3"/>
  <cols>
    <col min="1" max="1" width="9" style="226"/>
    <col min="2" max="2" width="22.6640625" style="226" customWidth="1"/>
    <col min="3" max="3" width="10.44140625" style="226" bestFit="1" customWidth="1"/>
    <col min="4" max="4" width="29.6640625" style="226" bestFit="1" customWidth="1"/>
    <col min="5" max="5" width="11.33203125" style="226" bestFit="1" customWidth="1"/>
    <col min="6" max="6" width="11" style="226" customWidth="1"/>
    <col min="7" max="7" width="12.33203125" style="226" bestFit="1" customWidth="1"/>
    <col min="8" max="16384" width="9" style="226"/>
  </cols>
  <sheetData>
    <row r="2" spans="2:11" x14ac:dyDescent="0.3">
      <c r="B2" s="225" t="s">
        <v>67</v>
      </c>
      <c r="D2" s="225" t="s">
        <v>270</v>
      </c>
      <c r="E2" s="225"/>
    </row>
    <row r="3" spans="2:11" x14ac:dyDescent="0.3">
      <c r="B3" s="226" t="s">
        <v>68</v>
      </c>
      <c r="D3" s="226" t="s">
        <v>268</v>
      </c>
    </row>
    <row r="4" spans="2:11" x14ac:dyDescent="0.3">
      <c r="B4" s="226" t="s">
        <v>78</v>
      </c>
      <c r="D4" s="226" t="s">
        <v>269</v>
      </c>
    </row>
    <row r="5" spans="2:11" x14ac:dyDescent="0.3">
      <c r="K5" s="225"/>
    </row>
    <row r="6" spans="2:11" x14ac:dyDescent="0.3">
      <c r="B6" s="225" t="s">
        <v>70</v>
      </c>
    </row>
    <row r="7" spans="2:11" x14ac:dyDescent="0.3">
      <c r="B7" s="226" t="s">
        <v>69</v>
      </c>
    </row>
    <row r="8" spans="2:11" x14ac:dyDescent="0.3">
      <c r="B8" s="226" t="s">
        <v>71</v>
      </c>
    </row>
    <row r="9" spans="2:11" x14ac:dyDescent="0.3">
      <c r="B9" s="226" t="s">
        <v>162</v>
      </c>
    </row>
    <row r="10" spans="2:11" x14ac:dyDescent="0.3">
      <c r="B10" s="226" t="s">
        <v>72</v>
      </c>
    </row>
    <row r="11" spans="2:11" ht="15" thickBot="1" x14ac:dyDescent="0.35"/>
    <row r="12" spans="2:11" x14ac:dyDescent="0.3">
      <c r="B12" s="276" t="s">
        <v>82</v>
      </c>
      <c r="C12" s="278"/>
      <c r="D12" s="278"/>
      <c r="E12" s="278"/>
      <c r="F12" s="278"/>
      <c r="G12" s="277"/>
    </row>
    <row r="13" spans="2:11" x14ac:dyDescent="0.3">
      <c r="B13" s="227" t="s">
        <v>70</v>
      </c>
      <c r="C13" s="228" t="s">
        <v>81</v>
      </c>
      <c r="D13" s="228" t="s">
        <v>266</v>
      </c>
      <c r="E13" s="228" t="s">
        <v>79</v>
      </c>
      <c r="F13" s="228" t="s">
        <v>80</v>
      </c>
      <c r="G13" s="229" t="s">
        <v>149</v>
      </c>
    </row>
    <row r="14" spans="2:11" x14ac:dyDescent="0.3">
      <c r="B14" s="230" t="s">
        <v>69</v>
      </c>
      <c r="C14" s="225" t="s">
        <v>68</v>
      </c>
      <c r="D14" s="225" t="s">
        <v>269</v>
      </c>
      <c r="E14" s="226">
        <v>205</v>
      </c>
      <c r="F14" s="226">
        <v>145</v>
      </c>
      <c r="G14" s="231">
        <v>290</v>
      </c>
    </row>
    <row r="15" spans="2:11" x14ac:dyDescent="0.3">
      <c r="B15" s="230" t="s">
        <v>69</v>
      </c>
      <c r="C15" s="225" t="s">
        <v>78</v>
      </c>
      <c r="D15" s="225" t="s">
        <v>269</v>
      </c>
      <c r="E15" s="226">
        <v>255</v>
      </c>
      <c r="F15" s="226">
        <v>170</v>
      </c>
      <c r="G15" s="231">
        <v>340</v>
      </c>
    </row>
    <row r="16" spans="2:11" x14ac:dyDescent="0.3">
      <c r="B16" s="230" t="s">
        <v>69</v>
      </c>
      <c r="C16" s="225" t="s">
        <v>68</v>
      </c>
      <c r="D16" s="225" t="s">
        <v>267</v>
      </c>
      <c r="E16" s="226">
        <v>165</v>
      </c>
      <c r="F16" s="226">
        <v>145</v>
      </c>
      <c r="G16" s="231">
        <v>290</v>
      </c>
    </row>
    <row r="17" spans="2:7" x14ac:dyDescent="0.3">
      <c r="B17" s="232"/>
      <c r="G17" s="231"/>
    </row>
    <row r="18" spans="2:7" x14ac:dyDescent="0.3">
      <c r="B18" s="230" t="s">
        <v>71</v>
      </c>
      <c r="C18" s="225" t="s">
        <v>68</v>
      </c>
      <c r="D18" s="225" t="s">
        <v>269</v>
      </c>
      <c r="E18" s="226">
        <v>330</v>
      </c>
      <c r="F18" s="226">
        <v>195</v>
      </c>
      <c r="G18" s="231">
        <v>330</v>
      </c>
    </row>
    <row r="19" spans="2:7" x14ac:dyDescent="0.3">
      <c r="B19" s="230" t="s">
        <v>71</v>
      </c>
      <c r="C19" s="225" t="s">
        <v>78</v>
      </c>
      <c r="D19" s="225" t="s">
        <v>269</v>
      </c>
      <c r="E19" s="226">
        <v>380</v>
      </c>
      <c r="F19" s="226">
        <v>220</v>
      </c>
      <c r="G19" s="231">
        <v>380</v>
      </c>
    </row>
    <row r="20" spans="2:7" x14ac:dyDescent="0.3">
      <c r="B20" s="230" t="s">
        <v>71</v>
      </c>
      <c r="C20" s="225" t="s">
        <v>78</v>
      </c>
      <c r="D20" s="225" t="s">
        <v>268</v>
      </c>
      <c r="E20" s="226">
        <v>380</v>
      </c>
      <c r="F20" s="226">
        <v>220</v>
      </c>
      <c r="G20" s="231">
        <v>380</v>
      </c>
    </row>
    <row r="21" spans="2:7" x14ac:dyDescent="0.3">
      <c r="B21" s="232"/>
      <c r="G21" s="231"/>
    </row>
    <row r="22" spans="2:7" x14ac:dyDescent="0.3">
      <c r="B22" s="230" t="s">
        <v>72</v>
      </c>
      <c r="C22" s="225" t="s">
        <v>68</v>
      </c>
      <c r="D22" s="225" t="s">
        <v>269</v>
      </c>
      <c r="E22" s="226">
        <v>290</v>
      </c>
      <c r="F22" s="226">
        <v>170</v>
      </c>
      <c r="G22" s="231">
        <v>290</v>
      </c>
    </row>
    <row r="23" spans="2:7" x14ac:dyDescent="0.3">
      <c r="B23" s="230" t="s">
        <v>72</v>
      </c>
      <c r="C23" s="225" t="s">
        <v>78</v>
      </c>
      <c r="D23" s="225" t="s">
        <v>269</v>
      </c>
      <c r="E23" s="226">
        <v>340</v>
      </c>
      <c r="F23" s="226">
        <v>195</v>
      </c>
      <c r="G23" s="231">
        <v>340</v>
      </c>
    </row>
    <row r="24" spans="2:7" x14ac:dyDescent="0.3">
      <c r="B24" s="230" t="s">
        <v>72</v>
      </c>
      <c r="C24" s="225" t="s">
        <v>78</v>
      </c>
      <c r="D24" s="225" t="s">
        <v>268</v>
      </c>
      <c r="E24" s="226">
        <v>340</v>
      </c>
      <c r="F24" s="226">
        <v>195</v>
      </c>
      <c r="G24" s="231">
        <v>340</v>
      </c>
    </row>
    <row r="25" spans="2:7" x14ac:dyDescent="0.3">
      <c r="B25" s="230"/>
      <c r="C25" s="225"/>
      <c r="D25" s="225"/>
      <c r="G25" s="231"/>
    </row>
    <row r="26" spans="2:7" x14ac:dyDescent="0.3">
      <c r="B26" s="230" t="s">
        <v>162</v>
      </c>
      <c r="C26" s="225" t="s">
        <v>68</v>
      </c>
      <c r="D26" s="225" t="s">
        <v>269</v>
      </c>
      <c r="E26" s="226">
        <v>340</v>
      </c>
      <c r="F26" s="226">
        <v>170</v>
      </c>
      <c r="G26" s="231">
        <v>290</v>
      </c>
    </row>
    <row r="27" spans="2:7" x14ac:dyDescent="0.3">
      <c r="B27" s="230" t="s">
        <v>162</v>
      </c>
      <c r="C27" s="225" t="s">
        <v>78</v>
      </c>
      <c r="D27" s="225" t="s">
        <v>269</v>
      </c>
      <c r="E27" s="226">
        <v>390</v>
      </c>
      <c r="F27" s="226">
        <v>195</v>
      </c>
      <c r="G27" s="231">
        <v>340</v>
      </c>
    </row>
    <row r="28" spans="2:7" ht="15" thickBot="1" x14ac:dyDescent="0.35">
      <c r="B28" s="233" t="s">
        <v>162</v>
      </c>
      <c r="C28" s="234" t="s">
        <v>78</v>
      </c>
      <c r="D28" s="234" t="s">
        <v>268</v>
      </c>
      <c r="E28" s="235">
        <v>390</v>
      </c>
      <c r="F28" s="235">
        <v>195</v>
      </c>
      <c r="G28" s="236">
        <v>340</v>
      </c>
    </row>
    <row r="29" spans="2:7" ht="15" thickBot="1" x14ac:dyDescent="0.35"/>
    <row r="30" spans="2:7" x14ac:dyDescent="0.3">
      <c r="B30" s="276" t="s">
        <v>83</v>
      </c>
      <c r="C30" s="277"/>
      <c r="D30" s="237"/>
    </row>
    <row r="31" spans="2:7" x14ac:dyDescent="0.3">
      <c r="B31" s="227" t="s">
        <v>81</v>
      </c>
      <c r="C31" s="229" t="s">
        <v>6</v>
      </c>
      <c r="D31" s="225"/>
    </row>
    <row r="32" spans="2:7" x14ac:dyDescent="0.3">
      <c r="B32" s="230" t="s">
        <v>68</v>
      </c>
      <c r="C32" s="231">
        <v>160</v>
      </c>
    </row>
    <row r="33" spans="2:4" ht="15" thickBot="1" x14ac:dyDescent="0.35">
      <c r="B33" s="233" t="s">
        <v>78</v>
      </c>
      <c r="C33" s="236">
        <v>185</v>
      </c>
    </row>
    <row r="34" spans="2:4" ht="15" thickBot="1" x14ac:dyDescent="0.35"/>
    <row r="35" spans="2:4" x14ac:dyDescent="0.3">
      <c r="B35" s="276" t="s">
        <v>88</v>
      </c>
      <c r="C35" s="277"/>
      <c r="D35" s="237"/>
    </row>
    <row r="36" spans="2:4" x14ac:dyDescent="0.3">
      <c r="B36" s="227" t="s">
        <v>81</v>
      </c>
      <c r="C36" s="229" t="s">
        <v>6</v>
      </c>
      <c r="D36" s="225"/>
    </row>
    <row r="37" spans="2:4" x14ac:dyDescent="0.3">
      <c r="B37" s="230" t="s">
        <v>68</v>
      </c>
      <c r="C37" s="231">
        <v>200</v>
      </c>
    </row>
    <row r="38" spans="2:4" ht="15" thickBot="1" x14ac:dyDescent="0.35">
      <c r="B38" s="233" t="s">
        <v>78</v>
      </c>
      <c r="C38" s="236">
        <v>250</v>
      </c>
    </row>
  </sheetData>
  <sheetProtection selectLockedCells="1" selectUnlockedCells="1"/>
  <mergeCells count="3">
    <mergeCell ref="B30:C30"/>
    <mergeCell ref="B35:C35"/>
    <mergeCell ref="B12:G12"/>
  </mergeCells>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17610-1764-457C-B555-30001E7C76E1}">
  <sheetPr codeName="Sheet4"/>
  <dimension ref="A1:R69"/>
  <sheetViews>
    <sheetView zoomScale="85" zoomScaleNormal="85" workbookViewId="0">
      <selection activeCell="B14" sqref="B14"/>
    </sheetView>
  </sheetViews>
  <sheetFormatPr defaultRowHeight="14.4" x14ac:dyDescent="0.3"/>
  <cols>
    <col min="1" max="1" width="2.44140625" customWidth="1"/>
    <col min="2" max="2" width="13.33203125" customWidth="1"/>
    <col min="3" max="3" width="28.33203125" customWidth="1"/>
    <col min="5" max="5" width="18.6640625" bestFit="1" customWidth="1"/>
    <col min="7" max="7" width="39.5546875" bestFit="1" customWidth="1"/>
    <col min="8" max="8" width="22.5546875" bestFit="1" customWidth="1"/>
    <col min="9" max="9" width="19.33203125" customWidth="1"/>
    <col min="10" max="10" width="2.33203125" customWidth="1"/>
    <col min="11" max="11" width="30.6640625" customWidth="1"/>
    <col min="13" max="13" width="2.33203125" customWidth="1"/>
    <col min="14" max="14" width="17.44140625" bestFit="1" customWidth="1"/>
    <col min="16" max="16" width="2.5546875" customWidth="1"/>
    <col min="17" max="17" width="22" bestFit="1" customWidth="1"/>
  </cols>
  <sheetData>
    <row r="1" spans="1:18" ht="16.2" thickBot="1" x14ac:dyDescent="0.35">
      <c r="A1" s="143">
        <f>'PROJECT SUMMARY (Old)'!C20</f>
        <v>0</v>
      </c>
      <c r="C1" s="146" t="s">
        <v>212</v>
      </c>
    </row>
    <row r="2" spans="1:18" x14ac:dyDescent="0.3">
      <c r="G2" s="144"/>
      <c r="H2" s="270" t="s">
        <v>331</v>
      </c>
      <c r="I2" s="272"/>
      <c r="K2" s="270" t="s">
        <v>332</v>
      </c>
      <c r="L2" s="272"/>
      <c r="N2" s="270" t="s">
        <v>335</v>
      </c>
      <c r="O2" s="272"/>
      <c r="Q2" s="270" t="s">
        <v>337</v>
      </c>
      <c r="R2" s="272"/>
    </row>
    <row r="3" spans="1:18" x14ac:dyDescent="0.3">
      <c r="B3" s="129"/>
      <c r="C3" s="134" t="s">
        <v>295</v>
      </c>
      <c r="E3" s="134"/>
      <c r="F3" s="129"/>
      <c r="G3" s="134" t="s">
        <v>304</v>
      </c>
      <c r="H3" s="109" t="s">
        <v>313</v>
      </c>
      <c r="I3" s="179">
        <f>ROUNDUP((SUM(I4:I5)/10),0)*BUDGET!E20</f>
        <v>0</v>
      </c>
      <c r="K3" s="109" t="s">
        <v>399</v>
      </c>
      <c r="L3" s="175">
        <f>IF(ISNUMBER(SEARCH("Moisture",BUDGET!$J$3)),IF(ISBLANK($B$7),$B$6/6,$B$7/6),0)</f>
        <v>0</v>
      </c>
      <c r="N3" s="109" t="s">
        <v>300</v>
      </c>
      <c r="O3" s="175">
        <f>IF(ISNUMBER(SEARCH("Roof",BUDGET!J3)),B3/10,0)</f>
        <v>0</v>
      </c>
      <c r="Q3" s="109" t="s">
        <v>327</v>
      </c>
      <c r="R3" s="174">
        <f>ROUNDUP(IF(ISNUMBER(SEARCH("Moisture",BUDGET!J3)),IF(ISBLANK(F16),F15,F16)*F6+B4/35,0),0)</f>
        <v>0</v>
      </c>
    </row>
    <row r="4" spans="1:18" x14ac:dyDescent="0.3">
      <c r="B4" s="129"/>
      <c r="C4" s="134" t="s">
        <v>296</v>
      </c>
      <c r="E4" s="134"/>
      <c r="F4" s="129"/>
      <c r="G4" s="134" t="s">
        <v>300</v>
      </c>
      <c r="H4" s="109" t="s">
        <v>314</v>
      </c>
      <c r="I4" s="179">
        <f>IFERROR(B3/(4*(B3^0.45)),0)</f>
        <v>0</v>
      </c>
      <c r="K4" s="109" t="s">
        <v>400</v>
      </c>
      <c r="L4" s="175">
        <f>IF(ISNUMBER(SEARCH("Moisture",BUDGET!$J$3)),IF(ISBLANK($B$7),$B$6/6,$B$7/6),0)</f>
        <v>0</v>
      </c>
      <c r="N4" s="109" t="s">
        <v>301</v>
      </c>
      <c r="O4" s="175">
        <f>IF(ISNUMBER(SEARCH("Wall",BUDGET!J3)),B5/10,0)</f>
        <v>0</v>
      </c>
      <c r="Q4" s="109" t="s">
        <v>328</v>
      </c>
      <c r="R4" s="174">
        <f>ROUNDUP(IF(ISNUMBER(SEARCH("Fene",BUDGET!J3)),F3*IF(ISBLANK(F10),F9,F10)+B4/35,0),0)</f>
        <v>0</v>
      </c>
    </row>
    <row r="5" spans="1:18" x14ac:dyDescent="0.3">
      <c r="B5" s="129"/>
      <c r="C5" s="134" t="s">
        <v>297</v>
      </c>
      <c r="E5" s="134"/>
      <c r="F5" s="129"/>
      <c r="G5" s="134" t="s">
        <v>301</v>
      </c>
      <c r="H5" s="109" t="s">
        <v>315</v>
      </c>
      <c r="I5" s="179">
        <f>+B4/100</f>
        <v>0</v>
      </c>
      <c r="K5" s="109" t="s">
        <v>401</v>
      </c>
      <c r="L5" s="175">
        <f>IF(ISNUMBER(SEARCH("Structural",BUDGET!$J$3)),IF(ISBLANK($B$9),$B$8/10,$B$9/10),0)</f>
        <v>0</v>
      </c>
      <c r="N5" s="109" t="s">
        <v>321</v>
      </c>
      <c r="O5" s="175">
        <f>IF(ISNUMBER(SEARCH("Fene",BUDGET!J3)),B4/25,0)</f>
        <v>0</v>
      </c>
      <c r="Q5" s="109" t="s">
        <v>329</v>
      </c>
      <c r="R5" s="174">
        <f>ROUNDUP(IF(ISNUMBER(SEARCH("Roof",BUDGET!J3)),F4*IF(ISBLANK(F12),F11,F12)+B3/35,0),0)</f>
        <v>0</v>
      </c>
    </row>
    <row r="6" spans="1:18" x14ac:dyDescent="0.3">
      <c r="B6" s="133">
        <f>D69/1000</f>
        <v>0</v>
      </c>
      <c r="C6" s="134" t="s">
        <v>298</v>
      </c>
      <c r="E6" s="134"/>
      <c r="F6" s="129"/>
      <c r="G6" s="134" t="s">
        <v>302</v>
      </c>
      <c r="H6" s="109" t="s">
        <v>316</v>
      </c>
      <c r="I6" s="179">
        <f>+I4</f>
        <v>0</v>
      </c>
      <c r="K6" s="109" t="s">
        <v>402</v>
      </c>
      <c r="L6" s="175">
        <f>IF(ISNUMBER(SEARCH("Structural",BUDGET!$J$3)),IF(ISBLANK($B$9),$B$8/10,$B$9/10),0)</f>
        <v>0</v>
      </c>
      <c r="N6" s="109" t="s">
        <v>322</v>
      </c>
      <c r="O6" s="175">
        <f>IF(ISNUMBER(SEARCH("Roof",BUDGET!J3)),B3/100,0)</f>
        <v>0</v>
      </c>
      <c r="Q6" s="109" t="s">
        <v>380</v>
      </c>
      <c r="R6" s="174">
        <f>ROUNDUP(IF(ISNUMBER(SEARCH("Wall",BUDGET!J3)),F5*IF(ISBLANK(F14),F13,F14)+B5/35,0),0)</f>
        <v>0</v>
      </c>
    </row>
    <row r="7" spans="1:18" x14ac:dyDescent="0.3">
      <c r="B7" s="170"/>
      <c r="C7" s="171" t="s">
        <v>383</v>
      </c>
      <c r="E7" s="134"/>
      <c r="F7" s="129"/>
      <c r="G7" s="134" t="s">
        <v>303</v>
      </c>
      <c r="H7" s="109" t="s">
        <v>317</v>
      </c>
      <c r="I7" s="179">
        <f>+I5</f>
        <v>0</v>
      </c>
      <c r="K7" s="109" t="s">
        <v>320</v>
      </c>
      <c r="L7" s="175">
        <f>D69/8000</f>
        <v>0</v>
      </c>
      <c r="N7" s="109" t="s">
        <v>323</v>
      </c>
      <c r="O7" s="175">
        <f>IF(ISNUMBER(SEARCH("Wall",BUDGET!J3)),B5/100,0)</f>
        <v>0</v>
      </c>
      <c r="Q7" s="109" t="s">
        <v>330</v>
      </c>
      <c r="R7" s="174">
        <f>ROUNDUP(IF(ISNUMBER(SEARCH("Structural",BUDGET!J3)),IF(ISBLANK(F18),F17,F18)*F7+IF(ISBLANK(B9),B8,B9)/35,0),0)</f>
        <v>0</v>
      </c>
    </row>
    <row r="8" spans="1:18" ht="15" thickBot="1" x14ac:dyDescent="0.35">
      <c r="B8" s="133">
        <f>+IF(D69=0,0,IF(D69/500&gt;25,D69/500,25))</f>
        <v>0</v>
      </c>
      <c r="C8" s="134" t="s">
        <v>299</v>
      </c>
      <c r="E8" s="134"/>
      <c r="H8" s="109" t="s">
        <v>318</v>
      </c>
      <c r="I8" s="177">
        <f>(D69/10000)*200</f>
        <v>0</v>
      </c>
      <c r="K8" s="109" t="s">
        <v>403</v>
      </c>
      <c r="L8" s="175">
        <f>IF(ISNUMBER(SEARCH("Roof",BUDGET!$J$3)),$B$3*8/60,0)</f>
        <v>0</v>
      </c>
      <c r="N8" s="109" t="s">
        <v>324</v>
      </c>
      <c r="O8" s="175">
        <f>IF(ISNUMBER(SEARCH("Fene",BUDGET!J3)),B4/100,0)</f>
        <v>0</v>
      </c>
      <c r="Q8" s="173" t="s">
        <v>338</v>
      </c>
      <c r="R8" s="176">
        <f>SUM(R3:R7)</f>
        <v>0</v>
      </c>
    </row>
    <row r="9" spans="1:18" ht="15" thickBot="1" x14ac:dyDescent="0.35">
      <c r="B9" s="170"/>
      <c r="C9" s="171" t="s">
        <v>384</v>
      </c>
      <c r="E9" s="134"/>
      <c r="F9" s="133">
        <f>IF(B4&gt;0,6,0)</f>
        <v>0</v>
      </c>
      <c r="G9" s="134" t="s">
        <v>312</v>
      </c>
      <c r="H9" s="173" t="s">
        <v>333</v>
      </c>
      <c r="I9" s="181">
        <f>SUM(I3:I7)+I8/BUDGET!F29</f>
        <v>0</v>
      </c>
      <c r="K9" s="109" t="s">
        <v>404</v>
      </c>
      <c r="L9" s="175">
        <f>IF(ISNUMBER(SEARCH("Roof",BUDGET!$J$3)),$B$3*8/60,0)</f>
        <v>0</v>
      </c>
      <c r="N9" s="109" t="s">
        <v>325</v>
      </c>
      <c r="O9" s="175">
        <f>IF(ISNUMBER(SEARCH("Moisture",BUDGET!J3)),IF(ISBLANK(B7),0.5+((B6-30)/60),0.5+((B7-30)/60)),0)</f>
        <v>0</v>
      </c>
    </row>
    <row r="10" spans="1:18" x14ac:dyDescent="0.3">
      <c r="B10" s="129"/>
      <c r="C10" s="134" t="s">
        <v>101</v>
      </c>
      <c r="E10" s="134"/>
      <c r="F10" s="170"/>
      <c r="G10" s="171" t="s">
        <v>382</v>
      </c>
      <c r="K10" s="109" t="s">
        <v>405</v>
      </c>
      <c r="L10" s="175">
        <f>$B$69/1000</f>
        <v>0</v>
      </c>
      <c r="N10" s="109" t="s">
        <v>326</v>
      </c>
      <c r="O10" s="175">
        <f>IF(ISNUMBER(SEARCH("Structural",BUDGET!J3)),IF(ISBLANK(B9),IF(B8&gt;0,2+((B8-30)/30),0),IF(B9&gt;0,2+((B9-30)/30),0)),0)</f>
        <v>0</v>
      </c>
      <c r="Q10" s="270" t="s">
        <v>379</v>
      </c>
      <c r="R10" s="272"/>
    </row>
    <row r="11" spans="1:18" ht="15" thickBot="1" x14ac:dyDescent="0.35">
      <c r="B11" s="129"/>
      <c r="C11" s="134" t="s">
        <v>102</v>
      </c>
      <c r="E11" s="134"/>
      <c r="F11" s="133">
        <f>IF(B3&gt;0,4,0)</f>
        <v>0</v>
      </c>
      <c r="G11" s="134" t="s">
        <v>309</v>
      </c>
      <c r="K11" s="109" t="s">
        <v>406</v>
      </c>
      <c r="L11" s="175">
        <f>$B$69/1000</f>
        <v>0</v>
      </c>
      <c r="N11" s="173" t="s">
        <v>336</v>
      </c>
      <c r="O11" s="181">
        <f>SUM(O3:O10)</f>
        <v>0</v>
      </c>
      <c r="Q11" s="109" t="s">
        <v>390</v>
      </c>
      <c r="R11" s="129"/>
    </row>
    <row r="12" spans="1:18" x14ac:dyDescent="0.3">
      <c r="B12" s="129"/>
      <c r="C12" s="134" t="s">
        <v>103</v>
      </c>
      <c r="E12" s="134"/>
      <c r="F12" s="170"/>
      <c r="G12" s="171" t="s">
        <v>385</v>
      </c>
      <c r="K12" s="109" t="s">
        <v>408</v>
      </c>
      <c r="L12" s="175">
        <f>IF(ISNUMBER(SEARCH("Fene",BUDGET!J3)),B4/3.125,0)</f>
        <v>0</v>
      </c>
      <c r="Q12" s="109" t="s">
        <v>391</v>
      </c>
      <c r="R12" s="129"/>
    </row>
    <row r="13" spans="1:18" x14ac:dyDescent="0.3">
      <c r="B13" s="129"/>
      <c r="C13" s="134" t="s">
        <v>278</v>
      </c>
      <c r="E13" s="134"/>
      <c r="F13" s="133">
        <f>IF(B5&gt;0,4,0)</f>
        <v>0</v>
      </c>
      <c r="G13" s="134" t="s">
        <v>310</v>
      </c>
      <c r="K13" s="109" t="s">
        <v>409</v>
      </c>
      <c r="L13" s="175">
        <f>+B4/50*8</f>
        <v>0</v>
      </c>
      <c r="Q13" s="109" t="s">
        <v>392</v>
      </c>
      <c r="R13" s="129"/>
    </row>
    <row r="14" spans="1:18" x14ac:dyDescent="0.3">
      <c r="B14" s="133">
        <f>+D69/1500</f>
        <v>0</v>
      </c>
      <c r="C14" s="134" t="s">
        <v>104</v>
      </c>
      <c r="F14" s="170"/>
      <c r="G14" s="171" t="s">
        <v>386</v>
      </c>
      <c r="K14" s="189" t="s">
        <v>411</v>
      </c>
      <c r="L14" s="188"/>
      <c r="Q14" s="109" t="s">
        <v>394</v>
      </c>
      <c r="R14" s="129"/>
    </row>
    <row r="15" spans="1:18" ht="15" thickBot="1" x14ac:dyDescent="0.35">
      <c r="B15" s="170"/>
      <c r="C15" s="171" t="s">
        <v>387</v>
      </c>
      <c r="F15" s="133">
        <f>IF(B6&gt;0,1,0)</f>
        <v>0</v>
      </c>
      <c r="G15" s="134" t="s">
        <v>308</v>
      </c>
      <c r="K15" s="173" t="s">
        <v>334</v>
      </c>
      <c r="L15" s="178">
        <f>SUM(L3:L12)+IF(L14&gt;0,L14,L13)</f>
        <v>0</v>
      </c>
      <c r="Q15" s="109" t="s">
        <v>393</v>
      </c>
      <c r="R15" s="129"/>
    </row>
    <row r="16" spans="1:18" ht="15" thickBot="1" x14ac:dyDescent="0.35">
      <c r="B16" s="129"/>
      <c r="C16" s="134" t="s">
        <v>164</v>
      </c>
      <c r="F16" s="170"/>
      <c r="G16" s="171" t="s">
        <v>388</v>
      </c>
      <c r="K16" s="183" t="str">
        <f>+H4</f>
        <v>Drone Recon</v>
      </c>
      <c r="L16" s="184">
        <f>+I4</f>
        <v>0</v>
      </c>
      <c r="Q16" s="173" t="s">
        <v>381</v>
      </c>
      <c r="R16" s="176">
        <f>SUM(R11:R15)</f>
        <v>0</v>
      </c>
    </row>
    <row r="17" spans="2:12" x14ac:dyDescent="0.3">
      <c r="B17" s="134"/>
      <c r="C17" s="134"/>
      <c r="F17" s="133">
        <f>IF(B8&gt;0,2,0)</f>
        <v>0</v>
      </c>
      <c r="G17" s="134" t="s">
        <v>311</v>
      </c>
      <c r="K17" s="183" t="str">
        <f>+H5</f>
        <v>Fene Recon</v>
      </c>
      <c r="L17" s="184">
        <f>+I5</f>
        <v>0</v>
      </c>
    </row>
    <row r="18" spans="2:12" x14ac:dyDescent="0.3">
      <c r="E18" s="134"/>
      <c r="F18" s="170"/>
      <c r="G18" s="171" t="s">
        <v>389</v>
      </c>
      <c r="K18" s="186" t="s">
        <v>410</v>
      </c>
      <c r="L18" s="185">
        <f>SUM(L15:L17)</f>
        <v>0</v>
      </c>
    </row>
    <row r="19" spans="2:12" x14ac:dyDescent="0.3">
      <c r="B19" s="129"/>
      <c r="C19" s="134" t="s">
        <v>146</v>
      </c>
      <c r="D19" s="129"/>
      <c r="E19" s="134" t="s">
        <v>136</v>
      </c>
    </row>
    <row r="20" spans="2:12" x14ac:dyDescent="0.3">
      <c r="B20" s="129"/>
      <c r="C20" s="134" t="s">
        <v>147</v>
      </c>
      <c r="D20" s="129"/>
      <c r="E20" s="134" t="s">
        <v>137</v>
      </c>
    </row>
    <row r="21" spans="2:12" x14ac:dyDescent="0.3">
      <c r="B21" s="129"/>
      <c r="C21" s="134" t="s">
        <v>150</v>
      </c>
      <c r="D21" s="129"/>
      <c r="E21" s="134" t="s">
        <v>138</v>
      </c>
    </row>
    <row r="22" spans="2:12" x14ac:dyDescent="0.3">
      <c r="B22" s="129"/>
      <c r="C22" s="134" t="s">
        <v>151</v>
      </c>
      <c r="D22" s="129"/>
      <c r="E22" s="134" t="s">
        <v>139</v>
      </c>
    </row>
    <row r="23" spans="2:12" x14ac:dyDescent="0.3">
      <c r="B23" s="129"/>
      <c r="C23" s="134" t="s">
        <v>152</v>
      </c>
      <c r="D23" s="129"/>
      <c r="E23" s="134" t="s">
        <v>140</v>
      </c>
    </row>
    <row r="24" spans="2:12" x14ac:dyDescent="0.3">
      <c r="B24" s="129"/>
      <c r="C24" s="134" t="s">
        <v>153</v>
      </c>
      <c r="D24" s="129"/>
      <c r="E24" s="134" t="s">
        <v>141</v>
      </c>
    </row>
    <row r="25" spans="2:12" x14ac:dyDescent="0.3">
      <c r="B25" s="129"/>
      <c r="C25" s="134" t="s">
        <v>154</v>
      </c>
      <c r="D25" s="129"/>
      <c r="E25" s="134" t="s">
        <v>142</v>
      </c>
    </row>
    <row r="26" spans="2:12" x14ac:dyDescent="0.3">
      <c r="B26" s="129"/>
      <c r="C26" s="134" t="s">
        <v>155</v>
      </c>
      <c r="D26" s="129"/>
      <c r="E26" s="134" t="s">
        <v>143</v>
      </c>
    </row>
    <row r="27" spans="2:12" x14ac:dyDescent="0.3">
      <c r="B27" s="129"/>
      <c r="C27" s="134" t="s">
        <v>156</v>
      </c>
      <c r="D27" s="129"/>
      <c r="E27" s="134" t="s">
        <v>144</v>
      </c>
    </row>
    <row r="28" spans="2:12" x14ac:dyDescent="0.3">
      <c r="B28" s="129"/>
      <c r="C28" s="134" t="s">
        <v>157</v>
      </c>
      <c r="D28" s="129"/>
      <c r="E28" s="134" t="s">
        <v>145</v>
      </c>
    </row>
    <row r="29" spans="2:12" x14ac:dyDescent="0.3">
      <c r="B29" s="129"/>
      <c r="C29" s="134" t="s">
        <v>165</v>
      </c>
      <c r="D29" s="129"/>
      <c r="E29" s="134" t="s">
        <v>339</v>
      </c>
    </row>
    <row r="30" spans="2:12" x14ac:dyDescent="0.3">
      <c r="B30" s="129"/>
      <c r="C30" s="134" t="s">
        <v>166</v>
      </c>
      <c r="D30" s="129"/>
      <c r="E30" s="134" t="s">
        <v>340</v>
      </c>
    </row>
    <row r="31" spans="2:12" x14ac:dyDescent="0.3">
      <c r="B31" s="129"/>
      <c r="C31" s="134" t="s">
        <v>167</v>
      </c>
      <c r="D31" s="129"/>
      <c r="E31" s="134" t="s">
        <v>341</v>
      </c>
    </row>
    <row r="32" spans="2:12" x14ac:dyDescent="0.3">
      <c r="B32" s="129"/>
      <c r="C32" s="134" t="s">
        <v>168</v>
      </c>
      <c r="D32" s="129"/>
      <c r="E32" s="134" t="s">
        <v>342</v>
      </c>
    </row>
    <row r="33" spans="2:5" x14ac:dyDescent="0.3">
      <c r="B33" s="129"/>
      <c r="C33" s="134" t="s">
        <v>169</v>
      </c>
      <c r="D33" s="129"/>
      <c r="E33" s="134" t="s">
        <v>343</v>
      </c>
    </row>
    <row r="34" spans="2:5" x14ac:dyDescent="0.3">
      <c r="B34" s="129"/>
      <c r="C34" s="134" t="s">
        <v>170</v>
      </c>
      <c r="D34" s="129"/>
      <c r="E34" s="134" t="s">
        <v>344</v>
      </c>
    </row>
    <row r="35" spans="2:5" x14ac:dyDescent="0.3">
      <c r="B35" s="129"/>
      <c r="C35" s="134" t="s">
        <v>171</v>
      </c>
      <c r="D35" s="129"/>
      <c r="E35" s="134" t="s">
        <v>345</v>
      </c>
    </row>
    <row r="36" spans="2:5" x14ac:dyDescent="0.3">
      <c r="B36" s="129"/>
      <c r="C36" s="134" t="s">
        <v>172</v>
      </c>
      <c r="D36" s="129"/>
      <c r="E36" s="134" t="s">
        <v>346</v>
      </c>
    </row>
    <row r="37" spans="2:5" x14ac:dyDescent="0.3">
      <c r="B37" s="129"/>
      <c r="C37" s="134" t="s">
        <v>173</v>
      </c>
      <c r="D37" s="129"/>
      <c r="E37" s="134" t="s">
        <v>347</v>
      </c>
    </row>
    <row r="38" spans="2:5" x14ac:dyDescent="0.3">
      <c r="B38" s="129"/>
      <c r="C38" s="134" t="s">
        <v>174</v>
      </c>
      <c r="D38" s="129"/>
      <c r="E38" s="134" t="s">
        <v>348</v>
      </c>
    </row>
    <row r="39" spans="2:5" x14ac:dyDescent="0.3">
      <c r="B39" s="129"/>
      <c r="C39" s="134" t="s">
        <v>175</v>
      </c>
      <c r="D39" s="129"/>
      <c r="E39" s="134" t="s">
        <v>349</v>
      </c>
    </row>
    <row r="40" spans="2:5" x14ac:dyDescent="0.3">
      <c r="B40" s="129"/>
      <c r="C40" s="134" t="s">
        <v>176</v>
      </c>
      <c r="D40" s="129"/>
      <c r="E40" s="134" t="s">
        <v>350</v>
      </c>
    </row>
    <row r="41" spans="2:5" x14ac:dyDescent="0.3">
      <c r="B41" s="129"/>
      <c r="C41" s="134" t="s">
        <v>177</v>
      </c>
      <c r="D41" s="129"/>
      <c r="E41" s="134" t="s">
        <v>351</v>
      </c>
    </row>
    <row r="42" spans="2:5" x14ac:dyDescent="0.3">
      <c r="B42" s="129"/>
      <c r="C42" s="134" t="s">
        <v>178</v>
      </c>
      <c r="D42" s="129"/>
      <c r="E42" s="134" t="s">
        <v>352</v>
      </c>
    </row>
    <row r="43" spans="2:5" x14ac:dyDescent="0.3">
      <c r="B43" s="129"/>
      <c r="C43" s="134" t="s">
        <v>179</v>
      </c>
      <c r="D43" s="129"/>
      <c r="E43" s="134" t="s">
        <v>353</v>
      </c>
    </row>
    <row r="44" spans="2:5" x14ac:dyDescent="0.3">
      <c r="B44" s="129"/>
      <c r="C44" s="134" t="s">
        <v>180</v>
      </c>
      <c r="D44" s="129"/>
      <c r="E44" s="134" t="s">
        <v>354</v>
      </c>
    </row>
    <row r="45" spans="2:5" x14ac:dyDescent="0.3">
      <c r="B45" s="129"/>
      <c r="C45" s="134" t="s">
        <v>181</v>
      </c>
      <c r="D45" s="129"/>
      <c r="E45" s="134" t="s">
        <v>355</v>
      </c>
    </row>
    <row r="46" spans="2:5" x14ac:dyDescent="0.3">
      <c r="B46" s="129"/>
      <c r="C46" s="134" t="s">
        <v>182</v>
      </c>
      <c r="D46" s="129"/>
      <c r="E46" s="134" t="s">
        <v>356</v>
      </c>
    </row>
    <row r="47" spans="2:5" x14ac:dyDescent="0.3">
      <c r="B47" s="129"/>
      <c r="C47" s="134" t="s">
        <v>183</v>
      </c>
      <c r="D47" s="129"/>
      <c r="E47" s="134" t="s">
        <v>357</v>
      </c>
    </row>
    <row r="48" spans="2:5" x14ac:dyDescent="0.3">
      <c r="B48" s="129"/>
      <c r="C48" s="134" t="s">
        <v>184</v>
      </c>
      <c r="D48" s="129"/>
      <c r="E48" s="134" t="s">
        <v>358</v>
      </c>
    </row>
    <row r="49" spans="2:5" x14ac:dyDescent="0.3">
      <c r="B49" s="129"/>
      <c r="C49" s="134" t="s">
        <v>185</v>
      </c>
      <c r="D49" s="129"/>
      <c r="E49" s="134" t="s">
        <v>359</v>
      </c>
    </row>
    <row r="50" spans="2:5" x14ac:dyDescent="0.3">
      <c r="B50" s="129"/>
      <c r="C50" s="134" t="s">
        <v>186</v>
      </c>
      <c r="D50" s="129"/>
      <c r="E50" s="134" t="s">
        <v>360</v>
      </c>
    </row>
    <row r="51" spans="2:5" x14ac:dyDescent="0.3">
      <c r="B51" s="129"/>
      <c r="C51" s="134" t="s">
        <v>187</v>
      </c>
      <c r="D51" s="129"/>
      <c r="E51" s="134" t="s">
        <v>361</v>
      </c>
    </row>
    <row r="52" spans="2:5" x14ac:dyDescent="0.3">
      <c r="B52" s="129"/>
      <c r="C52" s="134" t="s">
        <v>188</v>
      </c>
      <c r="D52" s="129"/>
      <c r="E52" s="134" t="s">
        <v>362</v>
      </c>
    </row>
    <row r="53" spans="2:5" x14ac:dyDescent="0.3">
      <c r="B53" s="129"/>
      <c r="C53" s="134" t="s">
        <v>189</v>
      </c>
      <c r="D53" s="129"/>
      <c r="E53" s="134" t="s">
        <v>363</v>
      </c>
    </row>
    <row r="54" spans="2:5" x14ac:dyDescent="0.3">
      <c r="B54" s="129"/>
      <c r="C54" s="134" t="s">
        <v>190</v>
      </c>
      <c r="D54" s="129"/>
      <c r="E54" s="134" t="s">
        <v>364</v>
      </c>
    </row>
    <row r="55" spans="2:5" x14ac:dyDescent="0.3">
      <c r="B55" s="129"/>
      <c r="C55" s="134" t="s">
        <v>191</v>
      </c>
      <c r="D55" s="129"/>
      <c r="E55" s="134" t="s">
        <v>365</v>
      </c>
    </row>
    <row r="56" spans="2:5" x14ac:dyDescent="0.3">
      <c r="B56" s="129"/>
      <c r="C56" s="134" t="s">
        <v>192</v>
      </c>
      <c r="D56" s="129"/>
      <c r="E56" s="134" t="s">
        <v>366</v>
      </c>
    </row>
    <row r="57" spans="2:5" x14ac:dyDescent="0.3">
      <c r="B57" s="129"/>
      <c r="C57" s="134" t="s">
        <v>193</v>
      </c>
      <c r="D57" s="129"/>
      <c r="E57" s="134" t="s">
        <v>367</v>
      </c>
    </row>
    <row r="58" spans="2:5" x14ac:dyDescent="0.3">
      <c r="B58" s="129"/>
      <c r="C58" s="134" t="s">
        <v>194</v>
      </c>
      <c r="D58" s="129"/>
      <c r="E58" s="134" t="s">
        <v>368</v>
      </c>
    </row>
    <row r="59" spans="2:5" x14ac:dyDescent="0.3">
      <c r="B59" s="129"/>
      <c r="C59" s="134" t="s">
        <v>195</v>
      </c>
      <c r="D59" s="129"/>
      <c r="E59" s="134" t="s">
        <v>369</v>
      </c>
    </row>
    <row r="60" spans="2:5" x14ac:dyDescent="0.3">
      <c r="B60" s="129"/>
      <c r="C60" s="134" t="s">
        <v>196</v>
      </c>
      <c r="D60" s="129"/>
      <c r="E60" s="134" t="s">
        <v>370</v>
      </c>
    </row>
    <row r="61" spans="2:5" x14ac:dyDescent="0.3">
      <c r="B61" s="129"/>
      <c r="C61" s="134" t="s">
        <v>197</v>
      </c>
      <c r="D61" s="129"/>
      <c r="E61" s="134" t="s">
        <v>371</v>
      </c>
    </row>
    <row r="62" spans="2:5" x14ac:dyDescent="0.3">
      <c r="B62" s="129"/>
      <c r="C62" s="134" t="s">
        <v>198</v>
      </c>
      <c r="D62" s="129"/>
      <c r="E62" s="134" t="s">
        <v>372</v>
      </c>
    </row>
    <row r="63" spans="2:5" x14ac:dyDescent="0.3">
      <c r="B63" s="129"/>
      <c r="C63" s="134" t="s">
        <v>199</v>
      </c>
      <c r="D63" s="129"/>
      <c r="E63" s="134" t="s">
        <v>373</v>
      </c>
    </row>
    <row r="64" spans="2:5" x14ac:dyDescent="0.3">
      <c r="B64" s="129"/>
      <c r="C64" s="134" t="s">
        <v>200</v>
      </c>
      <c r="D64" s="129"/>
      <c r="E64" s="134" t="s">
        <v>374</v>
      </c>
    </row>
    <row r="65" spans="2:5" x14ac:dyDescent="0.3">
      <c r="B65" s="129"/>
      <c r="C65" s="134" t="s">
        <v>201</v>
      </c>
      <c r="D65" s="129"/>
      <c r="E65" s="134" t="s">
        <v>375</v>
      </c>
    </row>
    <row r="66" spans="2:5" x14ac:dyDescent="0.3">
      <c r="B66" s="129"/>
      <c r="C66" s="134" t="s">
        <v>202</v>
      </c>
      <c r="D66" s="129"/>
      <c r="E66" s="134" t="s">
        <v>376</v>
      </c>
    </row>
    <row r="67" spans="2:5" x14ac:dyDescent="0.3">
      <c r="B67" s="129"/>
      <c r="C67" s="134" t="s">
        <v>203</v>
      </c>
      <c r="D67" s="129"/>
      <c r="E67" s="134" t="s">
        <v>377</v>
      </c>
    </row>
    <row r="68" spans="2:5" x14ac:dyDescent="0.3">
      <c r="B68" s="129"/>
      <c r="C68" s="134" t="s">
        <v>204</v>
      </c>
      <c r="D68" s="129"/>
      <c r="E68" s="134" t="s">
        <v>378</v>
      </c>
    </row>
    <row r="69" spans="2:5" x14ac:dyDescent="0.3">
      <c r="B69" s="133">
        <f>SUM(B19:B68)</f>
        <v>0</v>
      </c>
      <c r="C69" s="134" t="s">
        <v>207</v>
      </c>
      <c r="D69" s="133">
        <f>SUM(D19:D68)</f>
        <v>0</v>
      </c>
      <c r="E69" s="134" t="s">
        <v>208</v>
      </c>
    </row>
  </sheetData>
  <mergeCells count="5">
    <mergeCell ref="H2:I2"/>
    <mergeCell ref="Q10:R10"/>
    <mergeCell ref="N2:O2"/>
    <mergeCell ref="K2:L2"/>
    <mergeCell ref="Q2:R2"/>
  </mergeCells>
  <dataValidations count="2">
    <dataValidation type="whole" allowBlank="1" showInputMessage="1" showErrorMessage="1" promptTitle="Numerical Only" sqref="B16" xr:uid="{D006F496-FA93-4FA4-ADAA-96C1D202D6B4}">
      <formula1>0</formula1>
      <formula2>50</formula2>
    </dataValidation>
    <dataValidation type="decimal" operator="greaterThan" allowBlank="1" showInputMessage="1" showErrorMessage="1" promptTitle="Numerical Only" sqref="D19:D68 B19:B68 B3:B5 F3:F7 B9:B13 B7 B15" xr:uid="{5BA33957-2364-40D7-AAE7-6F8D66561ACC}">
      <formula1>0</formula1>
    </dataValidation>
  </dataValidations>
  <hyperlinks>
    <hyperlink ref="C1" location="'INPUT SUMMARY'!A1" display="INPUT SUMMARY" xr:uid="{AF7F083E-A770-4456-8350-7187F3E1A086}"/>
  </hyperlink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415E89-9904-44D0-BA0A-626D685CE2FA}">
  <sheetPr codeName="Sheet3"/>
  <dimension ref="A1:S137"/>
  <sheetViews>
    <sheetView workbookViewId="0">
      <selection activeCell="D128" sqref="D128"/>
    </sheetView>
  </sheetViews>
  <sheetFormatPr defaultRowHeight="14.4" x14ac:dyDescent="0.3"/>
  <cols>
    <col min="1" max="1" width="1.6640625" customWidth="1"/>
    <col min="2" max="2" width="37.21875" bestFit="1" customWidth="1"/>
    <col min="3" max="3" width="26.33203125" bestFit="1" customWidth="1"/>
    <col min="4" max="4" width="19.44140625" customWidth="1"/>
    <col min="5" max="5" width="26" customWidth="1"/>
    <col min="6" max="6" width="18.44140625" bestFit="1" customWidth="1"/>
    <col min="7" max="7" width="10.6640625" customWidth="1"/>
    <col min="8" max="8" width="2.6640625" customWidth="1"/>
    <col min="9" max="9" width="31.6640625" bestFit="1" customWidth="1"/>
    <col min="10" max="10" width="9.5546875" bestFit="1" customWidth="1"/>
    <col min="11" max="11" width="2.6640625" customWidth="1"/>
    <col min="12" max="12" width="16.44140625" bestFit="1" customWidth="1"/>
    <col min="13" max="13" width="7" bestFit="1" customWidth="1"/>
    <col min="14" max="14" width="2.33203125" customWidth="1"/>
    <col min="15" max="15" width="22" bestFit="1" customWidth="1"/>
    <col min="16" max="16" width="8.5546875" customWidth="1"/>
    <col min="17" max="17" width="1.6640625" customWidth="1"/>
    <col min="18" max="18" width="22" bestFit="1" customWidth="1"/>
    <col min="19" max="19" width="5" customWidth="1"/>
  </cols>
  <sheetData>
    <row r="1" spans="1:19" ht="18" x14ac:dyDescent="0.35">
      <c r="A1" s="100" t="s">
        <v>305</v>
      </c>
    </row>
    <row r="2" spans="1:19" ht="15" thickBot="1" x14ac:dyDescent="0.35">
      <c r="G2" s="144"/>
    </row>
    <row r="3" spans="1:19" x14ac:dyDescent="0.3">
      <c r="B3" s="133">
        <f>SUM(_xlfn.TOCOL('BUILDING 1 (Old)'!B3))</f>
        <v>0</v>
      </c>
      <c r="C3" s="134" t="s">
        <v>295</v>
      </c>
      <c r="D3" s="133">
        <f>SUM(_xlfn.TOCOL('BUILDING 1 (Old)'!F3))</f>
        <v>0</v>
      </c>
      <c r="E3" s="134" t="s">
        <v>304</v>
      </c>
      <c r="F3" s="270" t="s">
        <v>331</v>
      </c>
      <c r="G3" s="272"/>
      <c r="I3" s="270" t="s">
        <v>332</v>
      </c>
      <c r="J3" s="272"/>
      <c r="L3" s="270" t="s">
        <v>335</v>
      </c>
      <c r="M3" s="272"/>
      <c r="O3" s="270" t="s">
        <v>337</v>
      </c>
      <c r="P3" s="272"/>
      <c r="R3" s="270" t="s">
        <v>379</v>
      </c>
      <c r="S3" s="272"/>
    </row>
    <row r="4" spans="1:19" x14ac:dyDescent="0.3">
      <c r="B4" s="133">
        <f>SUM(_xlfn.TOCOL('BUILDING 1 (Old)'!B4))</f>
        <v>0</v>
      </c>
      <c r="C4" s="134" t="s">
        <v>296</v>
      </c>
      <c r="D4" s="133">
        <f>SUM(_xlfn.TOCOL('BUILDING 1 (Old)'!F4))</f>
        <v>0</v>
      </c>
      <c r="E4" s="134" t="s">
        <v>300</v>
      </c>
      <c r="F4" s="109" t="s">
        <v>313</v>
      </c>
      <c r="G4" s="179">
        <f>ROUNDUP((SUM(G5:G6)/10),0)*BUDGET!E20</f>
        <v>0</v>
      </c>
      <c r="I4" s="109" t="s">
        <v>399</v>
      </c>
      <c r="J4" s="175">
        <f>IF(ISNUMBER(SEARCH("Moisture",BUDGET!$J$3)),$B$6/6,0)</f>
        <v>0</v>
      </c>
      <c r="L4" s="109" t="s">
        <v>300</v>
      </c>
      <c r="M4" s="175">
        <f>IF(ISNUMBER(SEARCH("Roof",BUDGET!J3)),B3/10,0)</f>
        <v>0</v>
      </c>
      <c r="O4" s="109" t="s">
        <v>327</v>
      </c>
      <c r="P4" s="174">
        <f>IF(ISNUMBER(SEARCH("Moisture",BUDGET!J3)),D12*D6+B4/35,0)</f>
        <v>0</v>
      </c>
      <c r="R4" s="109" t="s">
        <v>390</v>
      </c>
      <c r="S4" s="133">
        <f>SUM(_xlfn.TOCOL('BUILDING 1 (Old)'!R11))</f>
        <v>0</v>
      </c>
    </row>
    <row r="5" spans="1:19" x14ac:dyDescent="0.3">
      <c r="B5" s="133">
        <f>SUM(_xlfn.TOCOL('BUILDING 1 (Old)'!B5))</f>
        <v>0</v>
      </c>
      <c r="C5" s="134" t="s">
        <v>297</v>
      </c>
      <c r="D5" s="133">
        <f>SUM(_xlfn.TOCOL('BUILDING 1 (Old)'!F5))</f>
        <v>0</v>
      </c>
      <c r="E5" s="134" t="s">
        <v>301</v>
      </c>
      <c r="F5" s="109" t="s">
        <v>314</v>
      </c>
      <c r="G5" s="179">
        <f>IFERROR(#REF!/(4*(#REF!^0.45)),0)</f>
        <v>0</v>
      </c>
      <c r="H5" s="180"/>
      <c r="I5" s="109" t="s">
        <v>400</v>
      </c>
      <c r="J5" s="175">
        <f>IF(ISNUMBER(SEARCH("Moisture",BUDGET!$J$3)),$B$6/6,0)</f>
        <v>0</v>
      </c>
      <c r="L5" s="109" t="s">
        <v>301</v>
      </c>
      <c r="M5" s="175">
        <f>IF(ISNUMBER(SEARCH("Wall",BUDGET!J3)),B5/10,0)</f>
        <v>0</v>
      </c>
      <c r="O5" s="109" t="s">
        <v>328</v>
      </c>
      <c r="P5" s="174">
        <f>IF(ISNUMBER(SEARCH("Fene",BUDGET!J3)),D3*D9+B4/35,0)</f>
        <v>0</v>
      </c>
      <c r="R5" s="109" t="s">
        <v>391</v>
      </c>
      <c r="S5" s="133">
        <f>SUM(_xlfn.TOCOL('BUILDING 1 (Old)'!R12))</f>
        <v>0</v>
      </c>
    </row>
    <row r="6" spans="1:19" x14ac:dyDescent="0.3">
      <c r="B6" s="133">
        <f>SUM(DATA!C94:C94)</f>
        <v>0</v>
      </c>
      <c r="C6" s="134" t="s">
        <v>298</v>
      </c>
      <c r="D6" s="133">
        <f>SUM(_xlfn.TOCOL('BUILDING 1 (Old)'!F6))</f>
        <v>0</v>
      </c>
      <c r="E6" s="134" t="s">
        <v>302</v>
      </c>
      <c r="F6" s="109" t="s">
        <v>315</v>
      </c>
      <c r="G6" s="179">
        <f>B4/100</f>
        <v>0</v>
      </c>
      <c r="I6" s="109" t="s">
        <v>401</v>
      </c>
      <c r="J6" s="175">
        <f>IF(ISNUMBER(SEARCH("Structural",BUDGET!$J$3)),$B$7/10,0)</f>
        <v>0</v>
      </c>
      <c r="L6" s="109" t="s">
        <v>321</v>
      </c>
      <c r="M6" s="175">
        <f>IF(ISNUMBER(SEARCH("Fene",BUDGET!J3)),B4/25,0)</f>
        <v>0</v>
      </c>
      <c r="O6" s="109" t="s">
        <v>329</v>
      </c>
      <c r="P6" s="174">
        <f>IF(ISNUMBER(SEARCH("Roof",BUDGET!J3)),DATA!H68,0)</f>
        <v>0</v>
      </c>
      <c r="R6" s="109" t="s">
        <v>392</v>
      </c>
      <c r="S6" s="133">
        <f>SUM(_xlfn.TOCOL('BUILDING 1 (Old)'!R13))</f>
        <v>0</v>
      </c>
    </row>
    <row r="7" spans="1:19" x14ac:dyDescent="0.3">
      <c r="B7" s="133">
        <f>SUM(DATA!D94:D94)</f>
        <v>0</v>
      </c>
      <c r="C7" s="134" t="s">
        <v>299</v>
      </c>
      <c r="D7" s="133">
        <f>SUM(_xlfn.TOCOL('BUILDING 1 (Old)'!F7))</f>
        <v>0</v>
      </c>
      <c r="E7" s="134" t="s">
        <v>303</v>
      </c>
      <c r="F7" s="109" t="s">
        <v>316</v>
      </c>
      <c r="G7" s="179">
        <f>+G5</f>
        <v>0</v>
      </c>
      <c r="H7" s="180"/>
      <c r="I7" s="109" t="s">
        <v>402</v>
      </c>
      <c r="J7" s="175">
        <f>IF(ISNUMBER(SEARCH("Structural",BUDGET!$J$3)),$B$7/10,0)</f>
        <v>0</v>
      </c>
      <c r="L7" s="109" t="s">
        <v>322</v>
      </c>
      <c r="M7" s="175">
        <f>IF(ISNUMBER(SEARCH("Roof",BUDGET!J3)),B3/100,0)</f>
        <v>0</v>
      </c>
      <c r="O7" s="109" t="s">
        <v>380</v>
      </c>
      <c r="P7" s="174">
        <f>IF(ISNUMBER(SEARCH("Wall",BUDGET!J3)),D5*D11+B5/35,0)</f>
        <v>0</v>
      </c>
      <c r="R7" s="109" t="s">
        <v>394</v>
      </c>
      <c r="S7" s="133">
        <f>SUM(_xlfn.TOCOL('BUILDING 1 (Old)'!R14))</f>
        <v>0</v>
      </c>
    </row>
    <row r="8" spans="1:19" x14ac:dyDescent="0.3">
      <c r="B8" s="133">
        <f>SUM(_xlfn.TOCOL('BUILDING 1 (Old)'!B10))</f>
        <v>0</v>
      </c>
      <c r="C8" s="134" t="s">
        <v>101</v>
      </c>
      <c r="F8" s="109" t="s">
        <v>317</v>
      </c>
      <c r="G8" s="179">
        <f>+G6</f>
        <v>0</v>
      </c>
      <c r="I8" s="109" t="s">
        <v>320</v>
      </c>
      <c r="J8" s="175">
        <f>+B15/8000</f>
        <v>0</v>
      </c>
      <c r="L8" s="109" t="s">
        <v>323</v>
      </c>
      <c r="M8" s="175">
        <f>IF(ISNUMBER(SEARCH("Wall",BUDGET!J3)),B5/100,0)</f>
        <v>0</v>
      </c>
      <c r="O8" s="109" t="s">
        <v>330</v>
      </c>
      <c r="P8" s="174">
        <f>IF(ISNUMBER(SEARCH("Structural",BUDGET!J3)),D13*D7+B7/35,0)</f>
        <v>0</v>
      </c>
      <c r="R8" s="109" t="s">
        <v>393</v>
      </c>
      <c r="S8" s="133">
        <f>SUM(_xlfn.TOCOL('BUILDING 1 (Old)'!R15))</f>
        <v>0</v>
      </c>
    </row>
    <row r="9" spans="1:19" ht="15" thickBot="1" x14ac:dyDescent="0.35">
      <c r="B9" s="133">
        <f>SUM(_xlfn.TOCOL('BUILDING 1 (Old)'!B11))</f>
        <v>0</v>
      </c>
      <c r="C9" s="134" t="s">
        <v>102</v>
      </c>
      <c r="D9" s="133">
        <f>SUM(DATA!F94:F94)</f>
        <v>0</v>
      </c>
      <c r="E9" s="134" t="s">
        <v>312</v>
      </c>
      <c r="F9" s="109" t="s">
        <v>318</v>
      </c>
      <c r="G9" s="177">
        <f>('PROJECT SUMMARY (Old)'!B15/10000)*200</f>
        <v>0</v>
      </c>
      <c r="I9" s="109" t="s">
        <v>403</v>
      </c>
      <c r="J9" s="175">
        <f>IF(ISNUMBER(SEARCH("Roof",BUDGET!$J$3)),$B$3*8/60,0)</f>
        <v>0</v>
      </c>
      <c r="L9" s="109" t="s">
        <v>324</v>
      </c>
      <c r="M9" s="175">
        <f>IF(ISNUMBER(SEARCH("Fene",BUDGET!J3)),B4/100,0)</f>
        <v>0</v>
      </c>
      <c r="O9" s="173" t="s">
        <v>338</v>
      </c>
      <c r="P9" s="176">
        <f>SUM(P4:P8)</f>
        <v>0</v>
      </c>
      <c r="R9" s="173" t="s">
        <v>381</v>
      </c>
      <c r="S9" s="176">
        <f>SUM(S4:S8)</f>
        <v>0</v>
      </c>
    </row>
    <row r="10" spans="1:19" ht="15" thickBot="1" x14ac:dyDescent="0.35">
      <c r="B10" s="133">
        <f>SUM(_xlfn.TOCOL('BUILDING 1 (Old)'!B12))</f>
        <v>0</v>
      </c>
      <c r="C10" s="134" t="s">
        <v>103</v>
      </c>
      <c r="D10" s="133">
        <f>SUM(DATA!G94:G94)</f>
        <v>0</v>
      </c>
      <c r="E10" s="134" t="s">
        <v>309</v>
      </c>
      <c r="F10" s="173" t="s">
        <v>333</v>
      </c>
      <c r="G10" s="178">
        <f>SUM(G4:G8)+G9/BUDGET!F29</f>
        <v>0</v>
      </c>
      <c r="I10" s="109" t="s">
        <v>404</v>
      </c>
      <c r="J10" s="175">
        <f>IF(ISNUMBER(SEARCH("Roof",BUDGET!$J$3)),$B$3*8/60,0)</f>
        <v>0</v>
      </c>
      <c r="L10" s="109" t="s">
        <v>325</v>
      </c>
      <c r="M10" s="175">
        <f>IF(ISNUMBER(SEARCH("Moisture",BUDGET!J3)),0.5+((B6-30)/60),0)</f>
        <v>0</v>
      </c>
    </row>
    <row r="11" spans="1:19" x14ac:dyDescent="0.3">
      <c r="B11" s="133">
        <f>SUM(_xlfn.TOCOL('BUILDING 1 (Old)'!B13))</f>
        <v>0</v>
      </c>
      <c r="C11" s="134" t="s">
        <v>278</v>
      </c>
      <c r="D11" s="133">
        <f>SUM(DATA!H94:H94)</f>
        <v>0</v>
      </c>
      <c r="E11" s="134" t="s">
        <v>310</v>
      </c>
      <c r="I11" s="109" t="s">
        <v>405</v>
      </c>
      <c r="J11" s="175">
        <f>$B$14/1000</f>
        <v>0</v>
      </c>
      <c r="L11" s="109" t="s">
        <v>326</v>
      </c>
      <c r="M11" s="175">
        <f>IF(ISNUMBER(SEARCH("Structural",BUDGET!J3)),IF(B7&gt;0,2+((B7-30)/30),0),0)</f>
        <v>0</v>
      </c>
    </row>
    <row r="12" spans="1:19" ht="15" thickBot="1" x14ac:dyDescent="0.35">
      <c r="B12" s="133">
        <f>SUM(DATA!E94:E94)</f>
        <v>0</v>
      </c>
      <c r="C12" s="134" t="s">
        <v>104</v>
      </c>
      <c r="D12" s="133">
        <f>SUM(DATA!I94:I94)</f>
        <v>0</v>
      </c>
      <c r="E12" s="134" t="s">
        <v>308</v>
      </c>
      <c r="I12" s="109" t="s">
        <v>406</v>
      </c>
      <c r="J12" s="175">
        <f>$B$14/1000</f>
        <v>0</v>
      </c>
      <c r="L12" s="173" t="s">
        <v>336</v>
      </c>
      <c r="M12" s="181">
        <f>SUM(M4:M11)</f>
        <v>0</v>
      </c>
    </row>
    <row r="13" spans="1:19" x14ac:dyDescent="0.3">
      <c r="B13" s="133">
        <f>SUM(_xlfn.TOCOL('BUILDING 1 (Old)'!B16))</f>
        <v>0</v>
      </c>
      <c r="C13" s="134" t="s">
        <v>164</v>
      </c>
      <c r="D13" s="133">
        <f>SUM(DATA!J94:J94)</f>
        <v>0</v>
      </c>
      <c r="E13" s="134" t="s">
        <v>311</v>
      </c>
      <c r="I13" s="109" t="s">
        <v>408</v>
      </c>
      <c r="J13" s="175">
        <f>IF(ISNUMBER(SEARCH("Fene",BUDGET!J3)),B4/3.125,0)</f>
        <v>0</v>
      </c>
    </row>
    <row r="14" spans="1:19" x14ac:dyDescent="0.3">
      <c r="B14" s="133">
        <f>SUM(_xlfn.TOCOL('BUILDING 1 (Old)'!B69))</f>
        <v>0</v>
      </c>
      <c r="C14" s="134" t="s">
        <v>209</v>
      </c>
      <c r="H14" s="187"/>
      <c r="I14" s="109" t="s">
        <v>409</v>
      </c>
      <c r="J14" s="175">
        <f>+B4/50*8</f>
        <v>0</v>
      </c>
    </row>
    <row r="15" spans="1:19" x14ac:dyDescent="0.3">
      <c r="B15" s="133">
        <f>SUM(_xlfn.TOCOL('BUILDING 1 (Old)'!D69))</f>
        <v>0</v>
      </c>
      <c r="C15" s="134" t="s">
        <v>210</v>
      </c>
      <c r="I15" s="189" t="s">
        <v>411</v>
      </c>
      <c r="J15" s="188">
        <f>SUM(_xlfn.TOCOL('BUILDING 1 (Old)'!L14))</f>
        <v>0</v>
      </c>
    </row>
    <row r="16" spans="1:19" ht="15" thickBot="1" x14ac:dyDescent="0.35">
      <c r="B16" s="133">
        <f>SUM(_xlfn.TOCOL('BUILDING 1 (Old)'!D13))</f>
        <v>0</v>
      </c>
      <c r="C16" s="134" t="s">
        <v>319</v>
      </c>
      <c r="I16" s="173" t="s">
        <v>334</v>
      </c>
      <c r="J16" s="178">
        <f>SUM(J4:J13)+IF(J15&gt;0,J15,J14)</f>
        <v>0</v>
      </c>
    </row>
    <row r="17" spans="2:10" x14ac:dyDescent="0.3">
      <c r="C17" s="134"/>
      <c r="I17" s="183" t="str">
        <f>+F5</f>
        <v>Drone Recon</v>
      </c>
      <c r="J17" s="184">
        <f>+G5</f>
        <v>0</v>
      </c>
    </row>
    <row r="18" spans="2:10" x14ac:dyDescent="0.3">
      <c r="I18" s="183" t="str">
        <f>+F6</f>
        <v>Fene Recon</v>
      </c>
      <c r="J18" s="184">
        <f>+G6</f>
        <v>0</v>
      </c>
    </row>
    <row r="19" spans="2:10" ht="15.6" x14ac:dyDescent="0.3">
      <c r="B19" s="143" t="s">
        <v>307</v>
      </c>
      <c r="C19" s="172" t="s">
        <v>306</v>
      </c>
      <c r="D19" s="281" t="s">
        <v>407</v>
      </c>
      <c r="E19" s="281"/>
      <c r="I19" s="186" t="s">
        <v>410</v>
      </c>
      <c r="J19" s="185">
        <f>SUM(J16:J18)</f>
        <v>0</v>
      </c>
    </row>
    <row r="20" spans="2:10" x14ac:dyDescent="0.3">
      <c r="B20" s="146" t="s">
        <v>211</v>
      </c>
      <c r="C20" s="129"/>
      <c r="D20" s="279"/>
      <c r="E20" s="280"/>
    </row>
    <row r="21" spans="2:10" hidden="1" x14ac:dyDescent="0.3">
      <c r="B21" s="146" t="s">
        <v>213</v>
      </c>
      <c r="C21" s="129"/>
      <c r="D21" s="279"/>
      <c r="E21" s="280"/>
    </row>
    <row r="22" spans="2:10" hidden="1" x14ac:dyDescent="0.3">
      <c r="B22" s="146" t="s">
        <v>214</v>
      </c>
      <c r="C22" s="129"/>
      <c r="D22" s="279"/>
      <c r="E22" s="280"/>
    </row>
    <row r="23" spans="2:10" hidden="1" x14ac:dyDescent="0.3">
      <c r="B23" s="146" t="s">
        <v>215</v>
      </c>
      <c r="C23" s="129"/>
      <c r="D23" s="279"/>
      <c r="E23" s="280"/>
    </row>
    <row r="24" spans="2:10" hidden="1" x14ac:dyDescent="0.3">
      <c r="B24" s="146" t="s">
        <v>216</v>
      </c>
      <c r="C24" s="129"/>
      <c r="D24" s="279"/>
      <c r="E24" s="280"/>
    </row>
    <row r="25" spans="2:10" hidden="1" x14ac:dyDescent="0.3">
      <c r="B25" s="146" t="s">
        <v>217</v>
      </c>
      <c r="C25" s="129"/>
      <c r="D25" s="279"/>
      <c r="E25" s="280"/>
    </row>
    <row r="26" spans="2:10" hidden="1" x14ac:dyDescent="0.3">
      <c r="B26" s="146" t="s">
        <v>218</v>
      </c>
      <c r="C26" s="129"/>
      <c r="D26" s="279"/>
      <c r="E26" s="280"/>
    </row>
    <row r="27" spans="2:10" hidden="1" x14ac:dyDescent="0.3">
      <c r="B27" s="146" t="s">
        <v>219</v>
      </c>
      <c r="C27" s="129"/>
      <c r="D27" s="279"/>
      <c r="E27" s="280"/>
    </row>
    <row r="28" spans="2:10" hidden="1" x14ac:dyDescent="0.3">
      <c r="B28" s="146" t="s">
        <v>220</v>
      </c>
      <c r="C28" s="129"/>
      <c r="D28" s="279"/>
      <c r="E28" s="280"/>
    </row>
    <row r="29" spans="2:10" hidden="1" x14ac:dyDescent="0.3">
      <c r="B29" s="146" t="s">
        <v>221</v>
      </c>
      <c r="C29" s="129"/>
      <c r="D29" s="279"/>
      <c r="E29" s="280"/>
    </row>
    <row r="30" spans="2:10" hidden="1" x14ac:dyDescent="0.3">
      <c r="B30" s="146" t="s">
        <v>222</v>
      </c>
      <c r="C30" s="129"/>
      <c r="D30" s="279"/>
      <c r="E30" s="280"/>
    </row>
    <row r="31" spans="2:10" hidden="1" x14ac:dyDescent="0.3">
      <c r="B31" s="146" t="s">
        <v>223</v>
      </c>
      <c r="C31" s="129"/>
      <c r="D31" s="279"/>
      <c r="E31" s="280"/>
    </row>
    <row r="32" spans="2:10" hidden="1" x14ac:dyDescent="0.3">
      <c r="B32" s="146" t="s">
        <v>224</v>
      </c>
      <c r="C32" s="129"/>
      <c r="D32" s="279"/>
      <c r="E32" s="280"/>
    </row>
    <row r="33" spans="2:5" hidden="1" x14ac:dyDescent="0.3">
      <c r="B33" s="146" t="s">
        <v>225</v>
      </c>
      <c r="C33" s="129"/>
      <c r="D33" s="279"/>
      <c r="E33" s="280"/>
    </row>
    <row r="34" spans="2:5" hidden="1" x14ac:dyDescent="0.3">
      <c r="B34" s="146" t="s">
        <v>226</v>
      </c>
      <c r="C34" s="129"/>
      <c r="D34" s="279"/>
      <c r="E34" s="280"/>
    </row>
    <row r="35" spans="2:5" hidden="1" x14ac:dyDescent="0.3">
      <c r="B35" s="146" t="s">
        <v>227</v>
      </c>
      <c r="C35" s="129"/>
      <c r="D35" s="279"/>
      <c r="E35" s="280"/>
    </row>
    <row r="36" spans="2:5" hidden="1" x14ac:dyDescent="0.3">
      <c r="B36" s="146" t="s">
        <v>228</v>
      </c>
      <c r="C36" s="129"/>
      <c r="D36" s="279"/>
      <c r="E36" s="280"/>
    </row>
    <row r="37" spans="2:5" hidden="1" x14ac:dyDescent="0.3">
      <c r="B37" s="146" t="s">
        <v>229</v>
      </c>
      <c r="C37" s="129"/>
      <c r="D37" s="279"/>
      <c r="E37" s="280"/>
    </row>
    <row r="38" spans="2:5" hidden="1" x14ac:dyDescent="0.3">
      <c r="B38" s="146" t="s">
        <v>230</v>
      </c>
      <c r="C38" s="129"/>
      <c r="D38" s="279"/>
      <c r="E38" s="280"/>
    </row>
    <row r="39" spans="2:5" hidden="1" x14ac:dyDescent="0.3">
      <c r="B39" s="146" t="s">
        <v>231</v>
      </c>
      <c r="C39" s="129"/>
      <c r="D39" s="279"/>
      <c r="E39" s="280"/>
    </row>
    <row r="40" spans="2:5" hidden="1" x14ac:dyDescent="0.3">
      <c r="B40" s="146" t="s">
        <v>232</v>
      </c>
      <c r="C40" s="129"/>
      <c r="D40" s="279"/>
      <c r="E40" s="280"/>
    </row>
    <row r="41" spans="2:5" hidden="1" x14ac:dyDescent="0.3">
      <c r="B41" s="146" t="s">
        <v>233</v>
      </c>
      <c r="C41" s="129"/>
      <c r="D41" s="279"/>
      <c r="E41" s="280"/>
    </row>
    <row r="42" spans="2:5" hidden="1" x14ac:dyDescent="0.3">
      <c r="B42" s="146" t="s">
        <v>234</v>
      </c>
      <c r="C42" s="129"/>
      <c r="D42" s="279"/>
      <c r="E42" s="280"/>
    </row>
    <row r="43" spans="2:5" hidden="1" x14ac:dyDescent="0.3">
      <c r="B43" s="146" t="s">
        <v>235</v>
      </c>
      <c r="C43" s="129"/>
      <c r="D43" s="279"/>
      <c r="E43" s="280"/>
    </row>
    <row r="44" spans="2:5" hidden="1" x14ac:dyDescent="0.3">
      <c r="B44" s="146" t="s">
        <v>236</v>
      </c>
      <c r="C44" s="129"/>
      <c r="D44" s="279"/>
      <c r="E44" s="280"/>
    </row>
    <row r="45" spans="2:5" hidden="1" x14ac:dyDescent="0.3">
      <c r="B45" s="146" t="s">
        <v>237</v>
      </c>
      <c r="C45" s="129"/>
      <c r="D45" s="279"/>
      <c r="E45" s="280"/>
    </row>
    <row r="46" spans="2:5" hidden="1" x14ac:dyDescent="0.3">
      <c r="B46" s="146" t="s">
        <v>238</v>
      </c>
      <c r="C46" s="129"/>
      <c r="D46" s="279"/>
      <c r="E46" s="280"/>
    </row>
    <row r="47" spans="2:5" hidden="1" x14ac:dyDescent="0.3">
      <c r="B47" s="146" t="s">
        <v>239</v>
      </c>
      <c r="C47" s="129"/>
      <c r="D47" s="279"/>
      <c r="E47" s="280"/>
    </row>
    <row r="48" spans="2:5" hidden="1" x14ac:dyDescent="0.3">
      <c r="B48" s="146" t="s">
        <v>240</v>
      </c>
      <c r="C48" s="129"/>
      <c r="D48" s="279"/>
      <c r="E48" s="280"/>
    </row>
    <row r="49" spans="2:5" hidden="1" x14ac:dyDescent="0.3">
      <c r="B49" s="146" t="s">
        <v>241</v>
      </c>
      <c r="C49" s="129"/>
      <c r="D49" s="279"/>
      <c r="E49" s="280"/>
    </row>
    <row r="50" spans="2:5" hidden="1" x14ac:dyDescent="0.3">
      <c r="B50" s="146" t="s">
        <v>242</v>
      </c>
      <c r="C50" s="129"/>
      <c r="D50" s="279"/>
      <c r="E50" s="280"/>
    </row>
    <row r="51" spans="2:5" hidden="1" x14ac:dyDescent="0.3">
      <c r="B51" s="146" t="s">
        <v>243</v>
      </c>
      <c r="C51" s="129"/>
      <c r="D51" s="279"/>
      <c r="E51" s="280"/>
    </row>
    <row r="52" spans="2:5" hidden="1" x14ac:dyDescent="0.3">
      <c r="B52" s="146" t="s">
        <v>244</v>
      </c>
      <c r="C52" s="129"/>
      <c r="D52" s="279"/>
      <c r="E52" s="280"/>
    </row>
    <row r="53" spans="2:5" hidden="1" x14ac:dyDescent="0.3">
      <c r="B53" s="146" t="s">
        <v>245</v>
      </c>
      <c r="C53" s="129"/>
      <c r="D53" s="279"/>
      <c r="E53" s="280"/>
    </row>
    <row r="54" spans="2:5" hidden="1" x14ac:dyDescent="0.3">
      <c r="B54" s="146" t="s">
        <v>246</v>
      </c>
      <c r="C54" s="129"/>
      <c r="D54" s="279"/>
      <c r="E54" s="280"/>
    </row>
    <row r="55" spans="2:5" hidden="1" x14ac:dyDescent="0.3">
      <c r="B55" s="146" t="s">
        <v>247</v>
      </c>
      <c r="C55" s="129"/>
      <c r="D55" s="279"/>
      <c r="E55" s="280"/>
    </row>
    <row r="56" spans="2:5" hidden="1" x14ac:dyDescent="0.3">
      <c r="B56" s="146" t="s">
        <v>248</v>
      </c>
      <c r="C56" s="129"/>
      <c r="D56" s="279"/>
      <c r="E56" s="280"/>
    </row>
    <row r="57" spans="2:5" hidden="1" x14ac:dyDescent="0.3">
      <c r="B57" s="146" t="s">
        <v>249</v>
      </c>
      <c r="C57" s="129"/>
      <c r="D57" s="279"/>
      <c r="E57" s="280"/>
    </row>
    <row r="58" spans="2:5" hidden="1" x14ac:dyDescent="0.3">
      <c r="B58" s="146" t="s">
        <v>250</v>
      </c>
      <c r="C58" s="129"/>
      <c r="D58" s="279"/>
      <c r="E58" s="280"/>
    </row>
    <row r="59" spans="2:5" hidden="1" x14ac:dyDescent="0.3">
      <c r="B59" s="146" t="s">
        <v>251</v>
      </c>
      <c r="C59" s="129"/>
      <c r="D59" s="279"/>
      <c r="E59" s="280"/>
    </row>
    <row r="60" spans="2:5" hidden="1" x14ac:dyDescent="0.3">
      <c r="B60" s="146" t="s">
        <v>252</v>
      </c>
      <c r="C60" s="129"/>
      <c r="D60" s="279"/>
      <c r="E60" s="280"/>
    </row>
    <row r="61" spans="2:5" hidden="1" x14ac:dyDescent="0.3">
      <c r="B61" s="146" t="s">
        <v>253</v>
      </c>
      <c r="C61" s="129"/>
      <c r="D61" s="279"/>
      <c r="E61" s="280"/>
    </row>
    <row r="62" spans="2:5" hidden="1" x14ac:dyDescent="0.3">
      <c r="B62" s="146" t="s">
        <v>254</v>
      </c>
      <c r="C62" s="129"/>
      <c r="D62" s="279"/>
      <c r="E62" s="280"/>
    </row>
    <row r="63" spans="2:5" hidden="1" x14ac:dyDescent="0.3">
      <c r="B63" s="146" t="s">
        <v>255</v>
      </c>
      <c r="C63" s="129"/>
      <c r="D63" s="279"/>
      <c r="E63" s="280"/>
    </row>
    <row r="64" spans="2:5" hidden="1" x14ac:dyDescent="0.3">
      <c r="B64" s="146" t="s">
        <v>256</v>
      </c>
      <c r="C64" s="129"/>
      <c r="D64" s="279"/>
      <c r="E64" s="280"/>
    </row>
    <row r="65" spans="2:5" hidden="1" x14ac:dyDescent="0.3">
      <c r="B65" s="146" t="s">
        <v>257</v>
      </c>
      <c r="C65" s="129"/>
      <c r="D65" s="279"/>
      <c r="E65" s="280"/>
    </row>
    <row r="66" spans="2:5" hidden="1" x14ac:dyDescent="0.3">
      <c r="B66" s="146" t="s">
        <v>258</v>
      </c>
      <c r="C66" s="129"/>
      <c r="D66" s="279"/>
      <c r="E66" s="280"/>
    </row>
    <row r="67" spans="2:5" hidden="1" x14ac:dyDescent="0.3">
      <c r="B67" s="146" t="s">
        <v>259</v>
      </c>
      <c r="C67" s="129"/>
      <c r="D67" s="279"/>
      <c r="E67" s="280"/>
    </row>
    <row r="68" spans="2:5" hidden="1" x14ac:dyDescent="0.3">
      <c r="B68" s="146" t="s">
        <v>260</v>
      </c>
      <c r="C68" s="129"/>
      <c r="D68" s="279"/>
      <c r="E68" s="280"/>
    </row>
    <row r="69" spans="2:5" hidden="1" x14ac:dyDescent="0.3">
      <c r="B69" s="146" t="s">
        <v>261</v>
      </c>
      <c r="C69" s="129"/>
      <c r="D69" s="279"/>
      <c r="E69" s="280"/>
    </row>
    <row r="70" spans="2:5" hidden="1" x14ac:dyDescent="0.3">
      <c r="B70" s="146" t="s">
        <v>412</v>
      </c>
      <c r="C70" s="129"/>
      <c r="D70" s="279"/>
      <c r="E70" s="280"/>
    </row>
    <row r="71" spans="2:5" hidden="1" x14ac:dyDescent="0.3">
      <c r="B71" s="146" t="s">
        <v>413</v>
      </c>
      <c r="C71" s="129"/>
      <c r="D71" s="279"/>
      <c r="E71" s="280"/>
    </row>
    <row r="72" spans="2:5" hidden="1" x14ac:dyDescent="0.3">
      <c r="B72" s="146" t="s">
        <v>414</v>
      </c>
      <c r="C72" s="129"/>
      <c r="D72" s="279"/>
      <c r="E72" s="280"/>
    </row>
    <row r="73" spans="2:5" hidden="1" x14ac:dyDescent="0.3">
      <c r="B73" s="146" t="s">
        <v>415</v>
      </c>
      <c r="C73" s="129"/>
      <c r="D73" s="279"/>
      <c r="E73" s="280"/>
    </row>
    <row r="74" spans="2:5" hidden="1" x14ac:dyDescent="0.3">
      <c r="B74" s="146" t="s">
        <v>416</v>
      </c>
      <c r="C74" s="129"/>
      <c r="D74" s="279"/>
      <c r="E74" s="280"/>
    </row>
    <row r="75" spans="2:5" hidden="1" x14ac:dyDescent="0.3">
      <c r="B75" s="146" t="s">
        <v>417</v>
      </c>
      <c r="C75" s="129"/>
      <c r="D75" s="279"/>
      <c r="E75" s="280"/>
    </row>
    <row r="76" spans="2:5" hidden="1" x14ac:dyDescent="0.3">
      <c r="B76" s="146" t="s">
        <v>418</v>
      </c>
      <c r="C76" s="129"/>
      <c r="D76" s="279"/>
      <c r="E76" s="280"/>
    </row>
    <row r="77" spans="2:5" hidden="1" x14ac:dyDescent="0.3">
      <c r="B77" s="146" t="s">
        <v>419</v>
      </c>
      <c r="C77" s="129"/>
      <c r="D77" s="279"/>
      <c r="E77" s="280"/>
    </row>
    <row r="78" spans="2:5" hidden="1" x14ac:dyDescent="0.3">
      <c r="B78" s="146" t="s">
        <v>420</v>
      </c>
      <c r="C78" s="129"/>
      <c r="D78" s="279"/>
      <c r="E78" s="280"/>
    </row>
    <row r="79" spans="2:5" hidden="1" x14ac:dyDescent="0.3">
      <c r="B79" s="146" t="s">
        <v>421</v>
      </c>
      <c r="C79" s="129"/>
      <c r="D79" s="279"/>
      <c r="E79" s="280"/>
    </row>
    <row r="80" spans="2:5" hidden="1" x14ac:dyDescent="0.3">
      <c r="B80" s="146" t="s">
        <v>422</v>
      </c>
      <c r="C80" s="129"/>
      <c r="D80" s="279"/>
      <c r="E80" s="280"/>
    </row>
    <row r="81" spans="2:5" hidden="1" x14ac:dyDescent="0.3">
      <c r="B81" s="146" t="s">
        <v>423</v>
      </c>
      <c r="C81" s="129"/>
      <c r="D81" s="279"/>
      <c r="E81" s="280"/>
    </row>
    <row r="82" spans="2:5" hidden="1" x14ac:dyDescent="0.3">
      <c r="B82" s="146" t="s">
        <v>424</v>
      </c>
      <c r="C82" s="129"/>
      <c r="D82" s="279"/>
      <c r="E82" s="280"/>
    </row>
    <row r="83" spans="2:5" hidden="1" x14ac:dyDescent="0.3">
      <c r="B83" s="146" t="s">
        <v>425</v>
      </c>
      <c r="C83" s="129"/>
      <c r="D83" s="279"/>
      <c r="E83" s="280"/>
    </row>
    <row r="84" spans="2:5" hidden="1" x14ac:dyDescent="0.3">
      <c r="B84" s="146" t="s">
        <v>426</v>
      </c>
      <c r="C84" s="129"/>
      <c r="D84" s="279"/>
      <c r="E84" s="280"/>
    </row>
    <row r="85" spans="2:5" hidden="1" x14ac:dyDescent="0.3">
      <c r="B85" s="146" t="s">
        <v>427</v>
      </c>
      <c r="C85" s="129"/>
      <c r="D85" s="279"/>
      <c r="E85" s="280"/>
    </row>
    <row r="86" spans="2:5" hidden="1" x14ac:dyDescent="0.3">
      <c r="B86" s="146" t="s">
        <v>428</v>
      </c>
      <c r="C86" s="129"/>
      <c r="D86" s="279"/>
      <c r="E86" s="280"/>
    </row>
    <row r="87" spans="2:5" hidden="1" x14ac:dyDescent="0.3">
      <c r="B87" s="146" t="s">
        <v>429</v>
      </c>
      <c r="C87" s="129"/>
      <c r="D87" s="279"/>
      <c r="E87" s="280"/>
    </row>
    <row r="88" spans="2:5" hidden="1" x14ac:dyDescent="0.3">
      <c r="B88" s="146" t="s">
        <v>430</v>
      </c>
      <c r="C88" s="129"/>
      <c r="D88" s="279"/>
      <c r="E88" s="280"/>
    </row>
    <row r="89" spans="2:5" hidden="1" x14ac:dyDescent="0.3">
      <c r="B89" s="146" t="s">
        <v>431</v>
      </c>
      <c r="C89" s="129"/>
      <c r="D89" s="279"/>
      <c r="E89" s="280"/>
    </row>
    <row r="90" spans="2:5" ht="14.25" hidden="1" customHeight="1" x14ac:dyDescent="0.3">
      <c r="B90" s="146" t="s">
        <v>432</v>
      </c>
      <c r="C90" s="129"/>
      <c r="D90" s="279"/>
      <c r="E90" s="280"/>
    </row>
    <row r="91" spans="2:5" ht="14.25" hidden="1" customHeight="1" x14ac:dyDescent="0.3">
      <c r="B91" s="146" t="s">
        <v>433</v>
      </c>
      <c r="C91" s="129"/>
      <c r="D91" s="279"/>
      <c r="E91" s="280"/>
    </row>
    <row r="92" spans="2:5" ht="14.25" hidden="1" customHeight="1" x14ac:dyDescent="0.3">
      <c r="B92" s="146" t="s">
        <v>434</v>
      </c>
      <c r="C92" s="129"/>
      <c r="D92" s="279"/>
      <c r="E92" s="280"/>
    </row>
    <row r="93" spans="2:5" ht="14.25" hidden="1" customHeight="1" x14ac:dyDescent="0.3">
      <c r="B93" s="146" t="s">
        <v>435</v>
      </c>
      <c r="C93" s="129"/>
      <c r="D93" s="279"/>
      <c r="E93" s="280"/>
    </row>
    <row r="94" spans="2:5" ht="14.25" hidden="1" customHeight="1" x14ac:dyDescent="0.3">
      <c r="B94" s="146" t="s">
        <v>436</v>
      </c>
      <c r="C94" s="129"/>
      <c r="D94" s="279"/>
      <c r="E94" s="280"/>
    </row>
    <row r="95" spans="2:5" ht="14.25" hidden="1" customHeight="1" x14ac:dyDescent="0.3">
      <c r="B95" s="146" t="s">
        <v>437</v>
      </c>
      <c r="C95" s="129"/>
      <c r="D95" s="279"/>
      <c r="E95" s="280"/>
    </row>
    <row r="96" spans="2:5" ht="14.25" hidden="1" customHeight="1" x14ac:dyDescent="0.3">
      <c r="B96" s="146" t="s">
        <v>438</v>
      </c>
      <c r="C96" s="129"/>
      <c r="D96" s="279"/>
      <c r="E96" s="280"/>
    </row>
    <row r="97" spans="2:5" ht="14.25" hidden="1" customHeight="1" x14ac:dyDescent="0.3">
      <c r="B97" s="146" t="s">
        <v>439</v>
      </c>
      <c r="C97" s="129"/>
      <c r="D97" s="279"/>
      <c r="E97" s="280"/>
    </row>
    <row r="98" spans="2:5" ht="14.25" hidden="1" customHeight="1" x14ac:dyDescent="0.3">
      <c r="B98" s="146" t="s">
        <v>440</v>
      </c>
      <c r="C98" s="129"/>
      <c r="D98" s="279"/>
      <c r="E98" s="280"/>
    </row>
    <row r="99" spans="2:5" ht="14.25" hidden="1" customHeight="1" x14ac:dyDescent="0.3">
      <c r="B99" s="146" t="s">
        <v>441</v>
      </c>
      <c r="C99" s="129"/>
      <c r="D99" s="279"/>
      <c r="E99" s="280"/>
    </row>
    <row r="100" spans="2:5" ht="14.25" hidden="1" customHeight="1" x14ac:dyDescent="0.3">
      <c r="B100" s="146" t="s">
        <v>442</v>
      </c>
      <c r="C100" s="129"/>
      <c r="D100" s="279"/>
      <c r="E100" s="280"/>
    </row>
    <row r="101" spans="2:5" ht="14.25" hidden="1" customHeight="1" x14ac:dyDescent="0.3">
      <c r="B101" s="146" t="s">
        <v>443</v>
      </c>
      <c r="C101" s="129"/>
      <c r="D101" s="279"/>
      <c r="E101" s="280"/>
    </row>
    <row r="102" spans="2:5" ht="14.25" hidden="1" customHeight="1" x14ac:dyDescent="0.3">
      <c r="B102" s="146" t="s">
        <v>444</v>
      </c>
      <c r="C102" s="129"/>
      <c r="D102" s="279"/>
      <c r="E102" s="280"/>
    </row>
    <row r="103" spans="2:5" ht="14.25" hidden="1" customHeight="1" x14ac:dyDescent="0.3">
      <c r="B103" s="146" t="s">
        <v>445</v>
      </c>
      <c r="C103" s="129"/>
      <c r="D103" s="279"/>
      <c r="E103" s="280"/>
    </row>
    <row r="104" spans="2:5" ht="14.25" hidden="1" customHeight="1" x14ac:dyDescent="0.3">
      <c r="B104" s="146" t="s">
        <v>446</v>
      </c>
      <c r="C104" s="129"/>
      <c r="D104" s="279"/>
      <c r="E104" s="280"/>
    </row>
    <row r="105" spans="2:5" ht="14.25" hidden="1" customHeight="1" x14ac:dyDescent="0.3">
      <c r="B105" s="146" t="s">
        <v>447</v>
      </c>
      <c r="C105" s="129"/>
      <c r="D105" s="279"/>
      <c r="E105" s="280"/>
    </row>
    <row r="106" spans="2:5" ht="14.25" hidden="1" customHeight="1" x14ac:dyDescent="0.3">
      <c r="B106" s="146" t="s">
        <v>448</v>
      </c>
      <c r="C106" s="129"/>
      <c r="D106" s="279"/>
      <c r="E106" s="280"/>
    </row>
    <row r="107" spans="2:5" ht="14.25" hidden="1" customHeight="1" x14ac:dyDescent="0.3">
      <c r="B107" s="146" t="s">
        <v>449</v>
      </c>
      <c r="C107" s="129"/>
      <c r="D107" s="279"/>
      <c r="E107" s="280"/>
    </row>
    <row r="108" spans="2:5" ht="14.25" hidden="1" customHeight="1" x14ac:dyDescent="0.3">
      <c r="B108" s="146" t="s">
        <v>450</v>
      </c>
      <c r="C108" s="129"/>
      <c r="D108" s="279"/>
      <c r="E108" s="280"/>
    </row>
    <row r="109" spans="2:5" ht="14.25" hidden="1" customHeight="1" x14ac:dyDescent="0.3">
      <c r="B109" s="146" t="s">
        <v>451</v>
      </c>
      <c r="C109" s="129"/>
      <c r="D109" s="279"/>
      <c r="E109" s="280"/>
    </row>
    <row r="110" spans="2:5" ht="14.25" hidden="1" customHeight="1" x14ac:dyDescent="0.3">
      <c r="B110" s="146" t="s">
        <v>452</v>
      </c>
      <c r="C110" s="129"/>
      <c r="D110" s="279"/>
      <c r="E110" s="280"/>
    </row>
    <row r="111" spans="2:5" ht="14.25" hidden="1" customHeight="1" x14ac:dyDescent="0.3">
      <c r="B111" s="146" t="s">
        <v>453</v>
      </c>
      <c r="C111" s="129"/>
      <c r="D111" s="279"/>
      <c r="E111" s="280"/>
    </row>
    <row r="112" spans="2:5" ht="14.25" hidden="1" customHeight="1" x14ac:dyDescent="0.3">
      <c r="B112" s="146" t="s">
        <v>454</v>
      </c>
      <c r="C112" s="129"/>
      <c r="D112" s="279"/>
      <c r="E112" s="280"/>
    </row>
    <row r="113" spans="2:5" ht="14.25" hidden="1" customHeight="1" x14ac:dyDescent="0.3">
      <c r="B113" s="146" t="s">
        <v>455</v>
      </c>
      <c r="C113" s="129"/>
      <c r="D113" s="279"/>
      <c r="E113" s="280"/>
    </row>
    <row r="114" spans="2:5" ht="14.25" hidden="1" customHeight="1" x14ac:dyDescent="0.3">
      <c r="B114" s="146" t="s">
        <v>456</v>
      </c>
      <c r="C114" s="129"/>
      <c r="D114" s="279"/>
      <c r="E114" s="280"/>
    </row>
    <row r="115" spans="2:5" ht="14.25" hidden="1" customHeight="1" x14ac:dyDescent="0.3">
      <c r="B115" s="146" t="s">
        <v>457</v>
      </c>
      <c r="C115" s="129"/>
      <c r="D115" s="279"/>
      <c r="E115" s="280"/>
    </row>
    <row r="116" spans="2:5" ht="14.25" hidden="1" customHeight="1" x14ac:dyDescent="0.3">
      <c r="B116" s="146" t="s">
        <v>458</v>
      </c>
      <c r="C116" s="129"/>
      <c r="D116" s="279"/>
      <c r="E116" s="280"/>
    </row>
    <row r="117" spans="2:5" ht="14.25" hidden="1" customHeight="1" x14ac:dyDescent="0.3">
      <c r="B117" s="146" t="s">
        <v>459</v>
      </c>
      <c r="C117" s="129"/>
      <c r="D117" s="279"/>
      <c r="E117" s="280"/>
    </row>
    <row r="118" spans="2:5" ht="14.25" hidden="1" customHeight="1" x14ac:dyDescent="0.3">
      <c r="B118" s="146" t="s">
        <v>460</v>
      </c>
      <c r="C118" s="129"/>
      <c r="D118" s="279"/>
      <c r="E118" s="280"/>
    </row>
    <row r="119" spans="2:5" ht="14.25" hidden="1" customHeight="1" x14ac:dyDescent="0.3">
      <c r="B119" s="146" t="s">
        <v>461</v>
      </c>
      <c r="C119" s="129"/>
      <c r="D119" s="279"/>
      <c r="E119" s="280"/>
    </row>
    <row r="123" spans="2:5" ht="15" thickBot="1" x14ac:dyDescent="0.35"/>
    <row r="124" spans="2:5" ht="15" thickBot="1" x14ac:dyDescent="0.35">
      <c r="B124" s="282" t="s">
        <v>478</v>
      </c>
      <c r="C124" s="283"/>
    </row>
    <row r="125" spans="2:5" x14ac:dyDescent="0.3">
      <c r="B125" s="260" t="s">
        <v>295</v>
      </c>
      <c r="C125" s="245"/>
    </row>
    <row r="126" spans="2:5" x14ac:dyDescent="0.3">
      <c r="B126" s="260" t="s">
        <v>296</v>
      </c>
      <c r="C126" s="239"/>
    </row>
    <row r="127" spans="2:5" x14ac:dyDescent="0.3">
      <c r="B127" s="260" t="s">
        <v>297</v>
      </c>
      <c r="C127" s="239"/>
    </row>
    <row r="128" spans="2:5" x14ac:dyDescent="0.3">
      <c r="B128" s="260" t="s">
        <v>298</v>
      </c>
      <c r="C128" s="239"/>
    </row>
    <row r="129" spans="2:3" x14ac:dyDescent="0.3">
      <c r="B129" s="261" t="s">
        <v>383</v>
      </c>
      <c r="C129" s="239"/>
    </row>
    <row r="130" spans="2:3" x14ac:dyDescent="0.3">
      <c r="B130" s="260" t="s">
        <v>299</v>
      </c>
      <c r="C130" s="239"/>
    </row>
    <row r="131" spans="2:3" x14ac:dyDescent="0.3">
      <c r="B131" s="261" t="s">
        <v>384</v>
      </c>
      <c r="C131" s="239"/>
    </row>
    <row r="132" spans="2:3" x14ac:dyDescent="0.3">
      <c r="B132" s="260" t="s">
        <v>101</v>
      </c>
      <c r="C132" s="239"/>
    </row>
    <row r="133" spans="2:3" x14ac:dyDescent="0.3">
      <c r="B133" s="260" t="s">
        <v>102</v>
      </c>
      <c r="C133" s="239"/>
    </row>
    <row r="134" spans="2:3" x14ac:dyDescent="0.3">
      <c r="B134" s="260" t="s">
        <v>103</v>
      </c>
      <c r="C134" s="239"/>
    </row>
    <row r="135" spans="2:3" x14ac:dyDescent="0.3">
      <c r="B135" s="260" t="s">
        <v>278</v>
      </c>
      <c r="C135" s="239"/>
    </row>
    <row r="136" spans="2:3" x14ac:dyDescent="0.3">
      <c r="B136" s="260" t="s">
        <v>104</v>
      </c>
      <c r="C136" s="239"/>
    </row>
    <row r="137" spans="2:3" ht="15" thickBot="1" x14ac:dyDescent="0.35">
      <c r="B137" s="262" t="s">
        <v>387</v>
      </c>
      <c r="C137" s="263"/>
    </row>
  </sheetData>
  <sheetProtection formatCells="0" formatColumns="0" formatRows="0" insertColumns="0" insertRows="0" insertHyperlinks="0" deleteColumns="0" deleteRows="0" sort="0" autoFilter="0" pivotTables="0"/>
  <mergeCells count="107">
    <mergeCell ref="B124:C124"/>
    <mergeCell ref="D115:E115"/>
    <mergeCell ref="D116:E116"/>
    <mergeCell ref="D117:E117"/>
    <mergeCell ref="D118:E118"/>
    <mergeCell ref="D119:E119"/>
    <mergeCell ref="D110:E110"/>
    <mergeCell ref="D111:E111"/>
    <mergeCell ref="D112:E112"/>
    <mergeCell ref="D113:E113"/>
    <mergeCell ref="D114:E114"/>
    <mergeCell ref="D105:E105"/>
    <mergeCell ref="D106:E106"/>
    <mergeCell ref="D107:E107"/>
    <mergeCell ref="D108:E108"/>
    <mergeCell ref="D109:E109"/>
    <mergeCell ref="D100:E100"/>
    <mergeCell ref="D101:E101"/>
    <mergeCell ref="D102:E102"/>
    <mergeCell ref="D103:E103"/>
    <mergeCell ref="D104:E104"/>
    <mergeCell ref="D95:E95"/>
    <mergeCell ref="D96:E96"/>
    <mergeCell ref="D97:E97"/>
    <mergeCell ref="D98:E98"/>
    <mergeCell ref="D99:E99"/>
    <mergeCell ref="D90:E90"/>
    <mergeCell ref="D91:E91"/>
    <mergeCell ref="D92:E92"/>
    <mergeCell ref="D93:E93"/>
    <mergeCell ref="D94:E94"/>
    <mergeCell ref="D85:E85"/>
    <mergeCell ref="D86:E86"/>
    <mergeCell ref="D87:E87"/>
    <mergeCell ref="D88:E88"/>
    <mergeCell ref="D89:E89"/>
    <mergeCell ref="D80:E80"/>
    <mergeCell ref="D81:E81"/>
    <mergeCell ref="D82:E82"/>
    <mergeCell ref="D83:E83"/>
    <mergeCell ref="D84:E84"/>
    <mergeCell ref="D75:E75"/>
    <mergeCell ref="D76:E76"/>
    <mergeCell ref="D77:E77"/>
    <mergeCell ref="D78:E78"/>
    <mergeCell ref="D79:E79"/>
    <mergeCell ref="D70:E70"/>
    <mergeCell ref="D71:E71"/>
    <mergeCell ref="D72:E72"/>
    <mergeCell ref="D73:E73"/>
    <mergeCell ref="D74:E74"/>
    <mergeCell ref="D68:E68"/>
    <mergeCell ref="D69:E69"/>
    <mergeCell ref="D19:E19"/>
    <mergeCell ref="D63:E63"/>
    <mergeCell ref="D64:E64"/>
    <mergeCell ref="D65:E65"/>
    <mergeCell ref="D66:E66"/>
    <mergeCell ref="D67:E67"/>
    <mergeCell ref="D58:E58"/>
    <mergeCell ref="D59:E59"/>
    <mergeCell ref="D60:E60"/>
    <mergeCell ref="D61:E61"/>
    <mergeCell ref="D62:E62"/>
    <mergeCell ref="D53:E53"/>
    <mergeCell ref="D54:E54"/>
    <mergeCell ref="D55:E55"/>
    <mergeCell ref="D56:E56"/>
    <mergeCell ref="D57:E57"/>
    <mergeCell ref="D48:E48"/>
    <mergeCell ref="D49:E49"/>
    <mergeCell ref="D50:E50"/>
    <mergeCell ref="D51:E51"/>
    <mergeCell ref="D52:E52"/>
    <mergeCell ref="D43:E43"/>
    <mergeCell ref="D44:E44"/>
    <mergeCell ref="D45:E45"/>
    <mergeCell ref="D46:E46"/>
    <mergeCell ref="D47:E47"/>
    <mergeCell ref="D38:E38"/>
    <mergeCell ref="D39:E39"/>
    <mergeCell ref="D40:E40"/>
    <mergeCell ref="D41:E41"/>
    <mergeCell ref="D42:E42"/>
    <mergeCell ref="D37:E37"/>
    <mergeCell ref="D32:E32"/>
    <mergeCell ref="F3:G3"/>
    <mergeCell ref="I3:J3"/>
    <mergeCell ref="D25:E25"/>
    <mergeCell ref="D26:E26"/>
    <mergeCell ref="D27:E27"/>
    <mergeCell ref="D28:E28"/>
    <mergeCell ref="D29:E29"/>
    <mergeCell ref="D20:E20"/>
    <mergeCell ref="D21:E21"/>
    <mergeCell ref="D22:E22"/>
    <mergeCell ref="D23:E23"/>
    <mergeCell ref="D24:E24"/>
    <mergeCell ref="L3:M3"/>
    <mergeCell ref="O3:P3"/>
    <mergeCell ref="R3:S3"/>
    <mergeCell ref="D30:E30"/>
    <mergeCell ref="D31:E31"/>
    <mergeCell ref="D33:E33"/>
    <mergeCell ref="D34:E34"/>
    <mergeCell ref="D35:E35"/>
    <mergeCell ref="D36:E36"/>
  </mergeCells>
  <phoneticPr fontId="25" type="noConversion"/>
  <hyperlinks>
    <hyperlink ref="B20" location="'BUILDING 1'!A1" display="BUILDING 1" xr:uid="{48726C61-561A-4909-8DD0-62C75B18568B}"/>
    <hyperlink ref="B21" location="'BUILDING 2'!A1" display="BUILDING 2" xr:uid="{B13894A2-2606-442B-BC71-1A4F3B2A4FA9}"/>
    <hyperlink ref="B22" location="'BUILDING 3'!A1" display="BUILDING 3" xr:uid="{07D501B2-C207-4EE6-8C03-8813ED87C253}"/>
    <hyperlink ref="B23" location="'BUILDING 4'!A1" display="BUILDING 4" xr:uid="{95D162A4-4A37-4838-B1DB-F25235E20EB2}"/>
    <hyperlink ref="B26" location="'BUILDING 7'!A1" display="BUILDING 7" xr:uid="{F368EC78-0B98-4A64-BD16-13B09C83E23D}"/>
    <hyperlink ref="B29" location="'BUILDING 10'!A1" display="BUILDING 10" xr:uid="{179B0157-E2B1-4F49-AA99-EF315FF0D328}"/>
    <hyperlink ref="B32" location="'BUILDING 13'!A1" display="BUILDING 13" xr:uid="{56F771BC-44C6-431D-A9F5-2A50CB3AF121}"/>
    <hyperlink ref="B35" location="'BUILDING 16'!A1" display="BUILDING 16" xr:uid="{D85CEA06-1A3A-41CD-B3DD-3DE322E7C479}"/>
    <hyperlink ref="B38" location="'BUILDING 19'!A1" display="BUILDING 19" xr:uid="{257A42A1-6488-48B5-AC19-372D0DF82682}"/>
    <hyperlink ref="B41" location="'BUILDING 22'!A1" display="BUILDING 22" xr:uid="{12C3DBD8-A69E-403F-81A9-9212F1C40D54}"/>
    <hyperlink ref="B44" location="'BUILDING 25'!A1" display="BUILDING 25" xr:uid="{81A422C0-5507-46EC-939B-77770B17B94D}"/>
    <hyperlink ref="B47" location="'BUILDING 28'!A1" display="BUILDING 28" xr:uid="{AC3E04CC-1307-4DB0-9309-F4AEE46FD896}"/>
    <hyperlink ref="B50" location="'BUILDING 31'!A1" display="BUILDING 31" xr:uid="{1B132F34-0011-4027-931C-00A9775A7B11}"/>
    <hyperlink ref="B53" location="'BUILDING 34'!A1" display="BUILDING 34" xr:uid="{15280467-B83A-4EFE-9054-C3475589EE05}"/>
    <hyperlink ref="B56" location="'BUILDING 37'!A1" display="BUILDING 37" xr:uid="{AEE682D8-B98B-4046-9D28-D3F5C37DC8ED}"/>
    <hyperlink ref="B59" location="'BUILDING 40'!A1" display="BUILDING 40" xr:uid="{965B1782-D5CF-4FB3-BDC3-982ABD63C32C}"/>
    <hyperlink ref="B62" location="'BUILDING 43'!A1" display="BUILDING 43" xr:uid="{71508C6C-6ACA-4946-9047-C84B9DEF3B79}"/>
    <hyperlink ref="B65" location="'BUILDING 46'!A1" display="BUILDING 46" xr:uid="{8944BF7C-76C7-4E40-A05B-6A9913E97B6B}"/>
    <hyperlink ref="B68" location="'BUILDING 49'!A1" display="BUILDING 49" xr:uid="{6F688F4A-81D6-4AB1-B07E-56286C32FF27}"/>
    <hyperlink ref="B24" location="'BUILDING 5'!A1" display="BUILDING 5" xr:uid="{C4636134-CDA1-4161-8647-833F8AA54D65}"/>
    <hyperlink ref="B27" location="'BUILDING 8'!A1" display="BUILDING 8" xr:uid="{61BD2496-1995-4812-9970-D4C7743964EF}"/>
    <hyperlink ref="B30" location="'BUILDING 11'!A1" display="BUILDING 11" xr:uid="{145925C4-FB9C-49CA-9A69-B839D0254E86}"/>
    <hyperlink ref="B33" location="'BUILDING 14'!A1" display="BUILDING 14" xr:uid="{A1ACAE17-5F31-451D-BAEE-5C4561B88175}"/>
    <hyperlink ref="B36" location="'BUILDING 17'!A1" display="BUILDING 17" xr:uid="{36583930-4671-454D-BA59-074931FBC256}"/>
    <hyperlink ref="B39" location="'BUILDING 20'!A1" display="BUILDING 20" xr:uid="{29363FCD-7F42-4931-BCC4-6C67F3B543F7}"/>
    <hyperlink ref="B42" location="'BUILDING 23'!A1" display="BUILDING 23" xr:uid="{5A6E64EC-DEDF-4E9F-AAA4-2C7D634A24E6}"/>
    <hyperlink ref="B45" location="'BUILDING 26'!A1" display="BUILDING 26" xr:uid="{1C0CCE0A-A38E-40DA-995C-E54C15E2849C}"/>
    <hyperlink ref="B48" location="'BUILDING 29'!A1" display="BUILDING 29" xr:uid="{3BEE00D9-7BA8-48B3-AA1D-E6D8EB053891}"/>
    <hyperlink ref="B51" location="'BUILDING 32'!A1" display="BUILDING 32" xr:uid="{19EA2A24-9706-43D0-8591-C11CF27F58BC}"/>
    <hyperlink ref="B54" location="'BUILDING 35'!A1" display="BUILDING 35" xr:uid="{10D77DF7-9B90-4190-9D4F-9F397D2D5653}"/>
    <hyperlink ref="B57" location="'BUILDING 38'!A1" display="BUILDING 38" xr:uid="{B254728D-3891-4EFF-B48F-573251D0F435}"/>
    <hyperlink ref="B60" location="'BUILDING 41'!A1" display="BUILDING 41" xr:uid="{E3440D33-F04C-4E11-BCEE-76BEDC269D7F}"/>
    <hyperlink ref="B63" location="'BUILDING 44'!A1" display="BUILDING 44" xr:uid="{BFEBDD25-F4F1-4280-BB5A-D9EB4ECDBF3E}"/>
    <hyperlink ref="B66" location="'BUILDING 47'!A1" display="BUILDING 47" xr:uid="{5D9F08C9-A4C0-4A74-8E58-B704E813F4F1}"/>
    <hyperlink ref="B69" location="'BUILDING 50'!A1" display="BUILDING 50" xr:uid="{EA759CDF-7238-49E7-BBA2-33D20A9CBE5E}"/>
    <hyperlink ref="B25" location="'BUILDING 6'!A1" display="BUILDING 6" xr:uid="{B2ECDE43-27C1-41B9-A979-B0E3B03626AE}"/>
    <hyperlink ref="B28" location="'BUILDING 9'!A1" display="BUILDING 9" xr:uid="{13E5991F-50A0-4EF1-B190-90CF58866AF6}"/>
    <hyperlink ref="B31" location="'BUILDING 12'!A1" display="BUILDING 12" xr:uid="{9BEAB927-1DA5-4478-9EFE-AC8D1B3AD3DF}"/>
    <hyperlink ref="B34" location="'BUILDING 15'!A1" display="BUILDING 15" xr:uid="{CE8AC697-5DE6-4A47-A54F-3DDCCFFB9502}"/>
    <hyperlink ref="B37" location="'BUILDING 18'!A1" display="BUILDING 18" xr:uid="{F2892794-967E-4711-BCB4-80148B290B91}"/>
    <hyperlink ref="B40" location="'BUILDING 21'!A1" display="BUILDING 21" xr:uid="{2FA02F95-B1EF-49EB-ADA8-1D91B95EFC07}"/>
    <hyperlink ref="B43" location="'BUILDING 24'!A1" display="BUILDING 24" xr:uid="{910D0D07-1155-49DC-9020-F1FACE95A5E8}"/>
    <hyperlink ref="B46" location="'BUILDING 27'!A1" display="BUILDING 27" xr:uid="{A7166150-F246-4539-A2AE-4715378EE9A7}"/>
    <hyperlink ref="B49" location="'BUILDING 30'!A1" display="BUILDING 30" xr:uid="{BCD11CD4-8DC4-4579-85B8-DA6D63C6C56F}"/>
    <hyperlink ref="B52" location="'BUILDING 33'!A1" display="BUILDING 33" xr:uid="{3C325382-64B9-425A-80D0-77CCBCC11A0B}"/>
    <hyperlink ref="B55" location="'BUILDING 36'!A1" display="BUILDING 36" xr:uid="{B37AD3B4-001F-4BB1-9D69-27BD37CBFE08}"/>
    <hyperlink ref="B58" location="'BUILDING 39'!A1" display="BUILDING 39" xr:uid="{7E987B74-25C8-42D5-B714-59ED5C0EDEF0}"/>
    <hyperlink ref="B61" location="'BUILDING 42'!A1" display="BUILDING 42" xr:uid="{0B0F57B3-0687-46BF-847D-732F013D9DC3}"/>
    <hyperlink ref="B64" location="'BUILDING 45'!A1" display="BUILDING 45" xr:uid="{900F6D43-4277-4692-919B-3C8FE988E4DC}"/>
    <hyperlink ref="B67" location="'BUILDING 48'!A1" display="BUILDING 48" xr:uid="{54472DF2-9489-42A2-A0F0-2BE96883CFA1}"/>
    <hyperlink ref="B70" location="'BUILDING 51'!A1" display="BUILDING 51" xr:uid="{9A6393D9-DE4C-4B8E-AE89-7DBF5A5AF5D1}"/>
    <hyperlink ref="B71" location="'BUILDING 52'!A1" display="BUILDING 52" xr:uid="{FC2432D2-668C-405F-A3D7-74EBA961A193}"/>
    <hyperlink ref="B72" location="'BUILDING 53'!A1" display="BUILDING 53" xr:uid="{6F48DB19-2F96-484B-AAA5-14162C82137E}"/>
    <hyperlink ref="B73" location="'BUILDING 54'!A1" display="BUILDING 54" xr:uid="{6F177E60-5F6B-44A7-89DE-5D81453AAF91}"/>
    <hyperlink ref="B74" location="'BUILDING 55'!A1" display="BUILDING 55" xr:uid="{AE2C157C-72F7-49D4-A7B3-E70FA27C2C0D}"/>
    <hyperlink ref="B75" location="'BUILDING 56'!A1" display="BUILDING 56" xr:uid="{B9FE5A37-D4BC-4A21-989B-20A0F2D76DEB}"/>
    <hyperlink ref="B81" location="'BUILDING 62'!A1" display="BUILDING 62" xr:uid="{5287EA27-A1F7-4B0B-A9A6-FEA4F9C67577}"/>
    <hyperlink ref="B87" location="'BUILDING 68'!A1" display="BUILDING 68" xr:uid="{07F59A07-FB6F-44E4-847E-9D926093FEC5}"/>
    <hyperlink ref="B93" location="'BUILDING 74'!A1" display="BUILDING 74" xr:uid="{B1E438F1-77C0-4E59-9C77-717BB0BB65EF}"/>
    <hyperlink ref="B99" location="'BUILDING 80'!A1" display="BUILDING 80" xr:uid="{51283379-5626-4E4F-8D81-9F8E934748DE}"/>
    <hyperlink ref="B105" location="'BUILDING 86'!A1" display="BUILDING 86" xr:uid="{4C3EB589-74B9-4286-819B-FCC014A07054}"/>
    <hyperlink ref="B111" location="'BUILDING 92'!A1" display="BUILDING 92" xr:uid="{FCE22579-E755-4458-8977-69948EFA0081}"/>
    <hyperlink ref="B117" location="'BUILDING 98'!A1" display="BUILDING 98" xr:uid="{CFABB5C9-7DE1-46B8-969A-0CDBFC62B143}"/>
    <hyperlink ref="B76" location="'BUILDING 57'!A1" display="BUILDING 57" xr:uid="{2FE5AC5A-7CA4-47EA-BDD1-185CFCE236F5}"/>
    <hyperlink ref="B82" location="'BUILDING 63'!A1" display="BUILDING 63" xr:uid="{F5CE7572-5052-4D4F-8382-E2FC154DAC1F}"/>
    <hyperlink ref="B88" location="'BUILDING 69'!A1" display="BUILDING 69" xr:uid="{39CC0AA2-FF46-4E62-BD38-8A98A86D49C0}"/>
    <hyperlink ref="B94" location="'BUILDING 75'!A1" display="BUILDING 75" xr:uid="{81C73D95-FB18-4EE4-8703-72A852297CF4}"/>
    <hyperlink ref="B100" location="'BUILDING 81'!A1" display="BUILDING 81" xr:uid="{7EA2D2AB-552C-41AD-B2FA-6B48238C9E51}"/>
    <hyperlink ref="B106" location="'BUILDING 87'!A1" display="BUILDING 87" xr:uid="{505038A9-59A7-4323-B727-EDA99DC7AF99}"/>
    <hyperlink ref="B112" location="'BUILDING 93'!A1" display="BUILDING 93" xr:uid="{872F3183-63BA-4F30-A64C-C4718D58D7F7}"/>
    <hyperlink ref="B118" location="'BUILDING 99'!A1" display="BUILDING 99" xr:uid="{598CF198-E86D-4198-B13E-F82B9EFDCE22}"/>
    <hyperlink ref="B77" location="'BUILDING 58'!A1" display="BUILDING 58" xr:uid="{91258B08-0EF3-4022-9909-A35C79B6BD95}"/>
    <hyperlink ref="B83" location="'BUILDING 64'!A1" display="BUILDING 64" xr:uid="{053E0D14-5125-4F59-845D-CA71B0A21770}"/>
    <hyperlink ref="B89" location="'BUILDING 70'!A1" display="BUILDING 70" xr:uid="{2E3BAACD-D9EC-454F-9952-EC2B478A0EF1}"/>
    <hyperlink ref="B95" location="'BUILDING 76'!A1" display="BUILDING 76" xr:uid="{8BA929E3-3456-4C8E-91E8-518F688FF615}"/>
    <hyperlink ref="B101" location="'BUILDING 82'!A1" display="BUILDING 82" xr:uid="{7D05711E-8E8C-44E4-A6F8-A0D1CF6FF8F6}"/>
    <hyperlink ref="B107" location="'BUILDING 88'!A1" display="BUILDING 88" xr:uid="{23ED95DC-25C8-4AB8-8E9E-C315183CC1D5}"/>
    <hyperlink ref="B113" location="'BUILDING 94'!A1" display="BUILDING 94" xr:uid="{E701FCEC-1354-43A0-8657-755050138521}"/>
    <hyperlink ref="B119" location="'BUILDING 100'!A1" display="BUILDING 100" xr:uid="{E57F86D1-B4AF-41A9-B1B7-5418818D8DB8}"/>
    <hyperlink ref="B78" location="'BUILDING 59'!A1" display="BUILDING 59" xr:uid="{9386C424-6F3D-4B2A-9DE7-C515947B151F}"/>
    <hyperlink ref="B84" location="'BUILDING 65'!A1" display="BUILDING 65" xr:uid="{057E8032-D8E4-4588-AF6E-B29BFF163CEF}"/>
    <hyperlink ref="B90" location="'BUILDING 71'!A1" display="BUILDING 71" xr:uid="{249823E6-219F-4EA7-A9F1-AC2253F8730E}"/>
    <hyperlink ref="B96" location="'BUILDING 77'!A1" display="BUILDING 77" xr:uid="{075BC654-222D-427E-AFA0-6F44ED538B84}"/>
    <hyperlink ref="B102" location="'BUILDING 83'!A1" display="BUILDING 83" xr:uid="{C6EF4A0D-458D-4018-A5DA-10B5E4183469}"/>
    <hyperlink ref="B108" location="'BUILDING 89'!A1" display="BUILDING 89" xr:uid="{C8032E41-5C38-4CF4-A1DF-17C21A395FBB}"/>
    <hyperlink ref="B114" location="'BUILDING 95'!A1" display="BUILDING 95" xr:uid="{E2D7D019-0B88-457D-AFFF-73E6BD9E81F7}"/>
    <hyperlink ref="B79" location="'BUILDING 60'!A1" display="BUILDING 60" xr:uid="{E353AD50-4716-4338-8706-03858EB8631F}"/>
    <hyperlink ref="B85" location="'BUILDING 66'!A1" display="BUILDING 66" xr:uid="{1D13DF77-4F75-4A78-87F1-A7FD90D4583B}"/>
    <hyperlink ref="B91" location="'BUILDING 72'!A1" display="BUILDING 72" xr:uid="{6F07A21B-7BB4-416F-9FDC-03B91D70BD2A}"/>
    <hyperlink ref="B97" location="'BUILDING 78'!A1" display="BUILDING 78" xr:uid="{FC7E0F37-4FAF-48A6-9DD3-5CEC081F8DE4}"/>
    <hyperlink ref="B103" location="'BUILDING 84'!A1" display="BUILDING 84" xr:uid="{ABEE1FC5-5550-429A-A3B7-51ACBC9DE6E6}"/>
    <hyperlink ref="B109" location="'BUILDING 90'!A1" display="BUILDING 90" xr:uid="{5034FB0C-ACFE-4938-B33B-6B10DDD7C2B2}"/>
    <hyperlink ref="B115" location="'BUILDING 96'!A1" display="BUILDING 96" xr:uid="{6EAA0B34-615C-4477-96D8-C37FBAEA8DF2}"/>
    <hyperlink ref="B80" location="'BUILDING 61'!A1" display="BUILDING 61" xr:uid="{F5A88F55-3091-4063-973E-3B86AC9E579A}"/>
    <hyperlink ref="B86" location="'BUILDING 67'!A1" display="BUILDING 67" xr:uid="{56BB5976-B061-4B5E-A13A-FDF26B54432E}"/>
    <hyperlink ref="B92" location="'BUILDING 73'!A1" display="BUILDING 73" xr:uid="{A4AA88B4-054E-4A24-B2D4-033B00EDA5C7}"/>
    <hyperlink ref="B98" location="'BUILDING 79'!A1" display="BUILDING 79" xr:uid="{7A2411AA-0324-4411-9986-D76BFDE7DAD6}"/>
    <hyperlink ref="B104" location="'BUILDING 85'!A1" display="BUILDING 85" xr:uid="{6AF2AC45-DD6D-427D-95C5-CFBD4AFA7E6C}"/>
    <hyperlink ref="B110" location="'BUILDING 91'!A1" display="BUILDING 91" xr:uid="{D28BD679-1C82-4F78-911E-D5E5EF750DFB}"/>
    <hyperlink ref="B116" location="'BUILDING 97'!A1" display="BUILDING 97" xr:uid="{DE3BD3A8-C360-4998-BB3B-A9D38FCF876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1AC42-CD6A-4F11-99FD-FAF464913CFC}">
  <sheetPr codeName="Sheet7"/>
  <dimension ref="A1:K39"/>
  <sheetViews>
    <sheetView zoomScale="85" zoomScaleNormal="85" workbookViewId="0">
      <selection activeCell="A17" sqref="A17:B32"/>
    </sheetView>
  </sheetViews>
  <sheetFormatPr defaultColWidth="9.21875" defaultRowHeight="15" customHeight="1" x14ac:dyDescent="0.3"/>
  <cols>
    <col min="1" max="1" width="37.33203125" style="196" bestFit="1" customWidth="1"/>
    <col min="2" max="2" width="12.33203125" style="196" customWidth="1"/>
    <col min="3" max="3" width="2" style="196" bestFit="1" customWidth="1"/>
    <col min="4" max="4" width="26.77734375" style="196" bestFit="1" customWidth="1"/>
    <col min="5" max="5" width="12" style="196" bestFit="1" customWidth="1"/>
    <col min="6" max="6" width="2" style="196" bestFit="1" customWidth="1"/>
    <col min="7" max="7" width="20.88671875" style="196" bestFit="1" customWidth="1"/>
    <col min="8" max="8" width="12" style="196" bestFit="1" customWidth="1"/>
    <col min="9" max="9" width="2" style="196" bestFit="1" customWidth="1"/>
    <col min="10" max="10" width="31.77734375" style="196" bestFit="1" customWidth="1"/>
    <col min="11" max="11" width="9.33203125" style="196" customWidth="1"/>
    <col min="12" max="16384" width="9.21875" style="196"/>
  </cols>
  <sheetData>
    <row r="1" spans="1:11" ht="15" customHeight="1" x14ac:dyDescent="0.3">
      <c r="A1" s="284" t="s">
        <v>523</v>
      </c>
      <c r="B1" s="285"/>
      <c r="D1" s="284" t="s">
        <v>524</v>
      </c>
      <c r="E1" s="285"/>
      <c r="G1" s="284" t="s">
        <v>525</v>
      </c>
      <c r="H1" s="285"/>
      <c r="J1" s="284" t="s">
        <v>526</v>
      </c>
      <c r="K1" s="285"/>
    </row>
    <row r="2" spans="1:11" ht="15" customHeight="1" thickBot="1" x14ac:dyDescent="0.35">
      <c r="A2" s="286"/>
      <c r="B2" s="287"/>
      <c r="D2" s="286"/>
      <c r="E2" s="287"/>
      <c r="G2" s="286"/>
      <c r="H2" s="287"/>
      <c r="J2" s="286"/>
      <c r="K2" s="287"/>
    </row>
    <row r="3" spans="1:11" ht="15" customHeight="1" thickBot="1" x14ac:dyDescent="0.35">
      <c r="A3" s="288" t="s">
        <v>478</v>
      </c>
      <c r="B3" s="283"/>
      <c r="D3" s="289" t="s">
        <v>479</v>
      </c>
      <c r="E3" s="290"/>
      <c r="G3" s="288" t="s">
        <v>522</v>
      </c>
      <c r="H3" s="283"/>
      <c r="J3" s="288" t="s">
        <v>505</v>
      </c>
      <c r="K3" s="283"/>
    </row>
    <row r="4" spans="1:11" ht="15" customHeight="1" x14ac:dyDescent="0.3">
      <c r="A4" s="244" t="s">
        <v>295</v>
      </c>
      <c r="B4" s="245"/>
      <c r="D4" s="244" t="s">
        <v>313</v>
      </c>
      <c r="E4" s="245"/>
      <c r="G4" s="244" t="s">
        <v>300</v>
      </c>
      <c r="H4" s="245"/>
      <c r="J4" s="254" t="s">
        <v>494</v>
      </c>
      <c r="K4" s="245"/>
    </row>
    <row r="5" spans="1:11" ht="15" customHeight="1" x14ac:dyDescent="0.3">
      <c r="A5" s="238" t="s">
        <v>296</v>
      </c>
      <c r="B5" s="239"/>
      <c r="D5" s="238" t="s">
        <v>314</v>
      </c>
      <c r="E5" s="239"/>
      <c r="G5" s="238" t="s">
        <v>301</v>
      </c>
      <c r="H5" s="239"/>
      <c r="J5" s="252" t="s">
        <v>495</v>
      </c>
      <c r="K5" s="239"/>
    </row>
    <row r="6" spans="1:11" ht="15" customHeight="1" x14ac:dyDescent="0.3">
      <c r="A6" s="238" t="s">
        <v>297</v>
      </c>
      <c r="B6" s="239"/>
      <c r="D6" s="238" t="s">
        <v>315</v>
      </c>
      <c r="E6" s="239"/>
      <c r="G6" s="238" t="s">
        <v>321</v>
      </c>
      <c r="H6" s="239"/>
      <c r="J6" s="252" t="s">
        <v>508</v>
      </c>
      <c r="K6" s="239"/>
    </row>
    <row r="7" spans="1:11" ht="15" customHeight="1" x14ac:dyDescent="0.3">
      <c r="A7" s="238" t="s">
        <v>298</v>
      </c>
      <c r="B7" s="239"/>
      <c r="D7" s="238" t="s">
        <v>316</v>
      </c>
      <c r="E7" s="239"/>
      <c r="G7" s="238" t="s">
        <v>322</v>
      </c>
      <c r="H7" s="239"/>
      <c r="J7" s="252" t="s">
        <v>490</v>
      </c>
      <c r="K7" s="239"/>
    </row>
    <row r="8" spans="1:11" ht="15" customHeight="1" x14ac:dyDescent="0.3">
      <c r="A8" s="238" t="s">
        <v>299</v>
      </c>
      <c r="B8" s="239"/>
      <c r="D8" s="238" t="s">
        <v>317</v>
      </c>
      <c r="E8" s="239"/>
      <c r="G8" s="238" t="s">
        <v>323</v>
      </c>
      <c r="H8" s="239"/>
      <c r="J8" s="252" t="s">
        <v>491</v>
      </c>
      <c r="K8" s="239"/>
    </row>
    <row r="9" spans="1:11" ht="15" customHeight="1" thickBot="1" x14ac:dyDescent="0.35">
      <c r="A9" s="238" t="s">
        <v>101</v>
      </c>
      <c r="B9" s="239"/>
      <c r="D9" s="238" t="s">
        <v>318</v>
      </c>
      <c r="E9" s="239"/>
      <c r="G9" s="238" t="s">
        <v>324</v>
      </c>
      <c r="H9" s="239"/>
      <c r="J9" s="251" t="s">
        <v>482</v>
      </c>
      <c r="K9" s="255"/>
    </row>
    <row r="10" spans="1:11" ht="15" customHeight="1" thickBot="1" x14ac:dyDescent="0.35">
      <c r="A10" s="238" t="s">
        <v>102</v>
      </c>
      <c r="B10" s="239"/>
      <c r="D10" s="246" t="s">
        <v>333</v>
      </c>
      <c r="E10" s="247"/>
      <c r="G10" s="238" t="s">
        <v>490</v>
      </c>
      <c r="H10" s="239"/>
      <c r="J10" s="288" t="s">
        <v>515</v>
      </c>
      <c r="K10" s="283"/>
    </row>
    <row r="11" spans="1:11" ht="15" customHeight="1" thickBot="1" x14ac:dyDescent="0.35">
      <c r="A11" s="238" t="s">
        <v>103</v>
      </c>
      <c r="B11" s="239"/>
      <c r="D11" s="257" t="s">
        <v>480</v>
      </c>
      <c r="E11" s="258"/>
      <c r="G11" s="238" t="s">
        <v>491</v>
      </c>
      <c r="H11" s="239"/>
      <c r="J11" s="254" t="s">
        <v>502</v>
      </c>
      <c r="K11" s="245"/>
    </row>
    <row r="12" spans="1:11" ht="15" customHeight="1" thickBot="1" x14ac:dyDescent="0.35">
      <c r="A12" s="238" t="s">
        <v>278</v>
      </c>
      <c r="B12" s="239"/>
      <c r="D12" s="244" t="s">
        <v>477</v>
      </c>
      <c r="E12" s="245"/>
      <c r="G12" s="246" t="s">
        <v>492</v>
      </c>
      <c r="H12" s="247"/>
      <c r="J12" s="252" t="s">
        <v>503</v>
      </c>
      <c r="K12" s="239"/>
    </row>
    <row r="13" spans="1:11" ht="15" customHeight="1" thickBot="1" x14ac:dyDescent="0.35">
      <c r="A13" s="246" t="s">
        <v>104</v>
      </c>
      <c r="B13" s="247"/>
      <c r="D13" s="238" t="s">
        <v>399</v>
      </c>
      <c r="E13" s="239"/>
      <c r="G13" s="288" t="s">
        <v>521</v>
      </c>
      <c r="H13" s="283"/>
      <c r="J13" s="288" t="s">
        <v>514</v>
      </c>
      <c r="K13" s="283"/>
    </row>
    <row r="14" spans="1:11" ht="15" customHeight="1" thickBot="1" x14ac:dyDescent="0.35">
      <c r="A14" s="288" t="s">
        <v>497</v>
      </c>
      <c r="B14" s="283"/>
      <c r="D14" s="238" t="s">
        <v>400</v>
      </c>
      <c r="E14" s="239"/>
      <c r="G14" s="244" t="s">
        <v>490</v>
      </c>
      <c r="H14" s="245"/>
      <c r="J14" s="252" t="s">
        <v>506</v>
      </c>
      <c r="K14" s="239"/>
    </row>
    <row r="15" spans="1:11" ht="15" customHeight="1" x14ac:dyDescent="0.3">
      <c r="A15" s="248" t="s">
        <v>106</v>
      </c>
      <c r="B15" s="249" t="s">
        <v>475</v>
      </c>
      <c r="D15" s="238" t="s">
        <v>401</v>
      </c>
      <c r="E15" s="239"/>
      <c r="G15" s="238" t="s">
        <v>493</v>
      </c>
      <c r="H15" s="239"/>
      <c r="J15" s="252" t="s">
        <v>507</v>
      </c>
      <c r="K15" s="239"/>
    </row>
    <row r="16" spans="1:11" ht="15" customHeight="1" thickBot="1" x14ac:dyDescent="0.35">
      <c r="A16" s="240"/>
      <c r="B16" s="241"/>
      <c r="D16" s="238" t="s">
        <v>402</v>
      </c>
      <c r="E16" s="239"/>
      <c r="G16" s="238" t="s">
        <v>494</v>
      </c>
      <c r="H16" s="239"/>
      <c r="J16" s="251" t="s">
        <v>509</v>
      </c>
      <c r="K16" s="247"/>
    </row>
    <row r="17" spans="4:11" ht="15" customHeight="1" thickBot="1" x14ac:dyDescent="0.35">
      <c r="D17" s="238" t="s">
        <v>403</v>
      </c>
      <c r="E17" s="239"/>
      <c r="G17" s="238" t="s">
        <v>495</v>
      </c>
      <c r="H17" s="239"/>
      <c r="J17" s="252" t="s">
        <v>504</v>
      </c>
      <c r="K17" s="239"/>
    </row>
    <row r="18" spans="4:11" ht="15" customHeight="1" thickBot="1" x14ac:dyDescent="0.35">
      <c r="D18" s="238" t="s">
        <v>404</v>
      </c>
      <c r="E18" s="239"/>
      <c r="G18" s="238" t="s">
        <v>491</v>
      </c>
      <c r="H18" s="239"/>
      <c r="J18" s="288" t="s">
        <v>512</v>
      </c>
      <c r="K18" s="283"/>
    </row>
    <row r="19" spans="4:11" ht="15" customHeight="1" thickBot="1" x14ac:dyDescent="0.35">
      <c r="D19" s="238" t="s">
        <v>405</v>
      </c>
      <c r="E19" s="239"/>
      <c r="G19" s="246" t="s">
        <v>496</v>
      </c>
      <c r="H19" s="247"/>
      <c r="J19" s="254" t="s">
        <v>283</v>
      </c>
      <c r="K19" s="245"/>
    </row>
    <row r="20" spans="4:11" ht="15" customHeight="1" thickBot="1" x14ac:dyDescent="0.35">
      <c r="D20" s="238" t="s">
        <v>406</v>
      </c>
      <c r="E20" s="239"/>
      <c r="G20" s="288" t="s">
        <v>481</v>
      </c>
      <c r="H20" s="283"/>
      <c r="J20" s="252" t="s">
        <v>498</v>
      </c>
      <c r="K20" s="239"/>
    </row>
    <row r="21" spans="4:11" ht="15" customHeight="1" thickBot="1" x14ac:dyDescent="0.35">
      <c r="D21" s="238" t="s">
        <v>408</v>
      </c>
      <c r="E21" s="239"/>
      <c r="G21" s="244" t="s">
        <v>390</v>
      </c>
      <c r="H21" s="245"/>
      <c r="J21" s="252" t="s">
        <v>482</v>
      </c>
      <c r="K21" s="256"/>
    </row>
    <row r="22" spans="4:11" ht="15" customHeight="1" thickBot="1" x14ac:dyDescent="0.35">
      <c r="D22" s="238" t="s">
        <v>409</v>
      </c>
      <c r="E22" s="239"/>
      <c r="G22" s="238" t="s">
        <v>391</v>
      </c>
      <c r="H22" s="239"/>
      <c r="J22" s="288" t="s">
        <v>513</v>
      </c>
      <c r="K22" s="283"/>
    </row>
    <row r="23" spans="4:11" ht="15" customHeight="1" thickBot="1" x14ac:dyDescent="0.35">
      <c r="D23" s="242" t="s">
        <v>334</v>
      </c>
      <c r="E23" s="241"/>
      <c r="G23" s="238" t="s">
        <v>392</v>
      </c>
      <c r="H23" s="239"/>
      <c r="J23" s="252" t="s">
        <v>510</v>
      </c>
      <c r="K23" s="239"/>
    </row>
    <row r="24" spans="4:11" ht="15" customHeight="1" x14ac:dyDescent="0.3">
      <c r="G24" s="238" t="s">
        <v>394</v>
      </c>
      <c r="H24" s="239"/>
      <c r="J24" s="252" t="s">
        <v>511</v>
      </c>
      <c r="K24" s="239"/>
    </row>
    <row r="25" spans="4:11" ht="15" customHeight="1" thickBot="1" x14ac:dyDescent="0.35">
      <c r="G25" s="238" t="s">
        <v>393</v>
      </c>
      <c r="H25" s="239"/>
      <c r="J25" s="252" t="s">
        <v>482</v>
      </c>
      <c r="K25" s="256"/>
    </row>
    <row r="26" spans="4:11" ht="15" customHeight="1" thickBot="1" x14ac:dyDescent="0.35">
      <c r="G26" s="242" t="s">
        <v>381</v>
      </c>
      <c r="H26" s="241"/>
      <c r="J26" s="288" t="s">
        <v>23</v>
      </c>
      <c r="K26" s="283"/>
    </row>
    <row r="27" spans="4:11" ht="15" customHeight="1" x14ac:dyDescent="0.3">
      <c r="J27" s="243" t="s">
        <v>483</v>
      </c>
      <c r="K27" s="239"/>
    </row>
    <row r="28" spans="4:11" ht="15" customHeight="1" thickBot="1" x14ac:dyDescent="0.35">
      <c r="J28" s="250" t="s">
        <v>484</v>
      </c>
      <c r="K28" s="247"/>
    </row>
    <row r="29" spans="4:11" ht="15" customHeight="1" thickBot="1" x14ac:dyDescent="0.35">
      <c r="J29" s="288" t="s">
        <v>517</v>
      </c>
      <c r="K29" s="283"/>
    </row>
    <row r="30" spans="4:11" ht="15" customHeight="1" x14ac:dyDescent="0.3">
      <c r="J30" s="252" t="s">
        <v>516</v>
      </c>
      <c r="K30" s="239"/>
    </row>
    <row r="31" spans="4:11" ht="15" customHeight="1" x14ac:dyDescent="0.3">
      <c r="J31" s="252" t="s">
        <v>486</v>
      </c>
      <c r="K31" s="239"/>
    </row>
    <row r="32" spans="4:11" ht="15" customHeight="1" x14ac:dyDescent="0.3">
      <c r="J32" s="252" t="s">
        <v>487</v>
      </c>
      <c r="K32" s="239"/>
    </row>
    <row r="33" spans="10:11" ht="15" customHeight="1" x14ac:dyDescent="0.3">
      <c r="J33" s="254" t="s">
        <v>499</v>
      </c>
      <c r="K33" s="245"/>
    </row>
    <row r="34" spans="10:11" ht="15" customHeight="1" thickBot="1" x14ac:dyDescent="0.35">
      <c r="J34" s="252" t="s">
        <v>501</v>
      </c>
      <c r="K34" s="239"/>
    </row>
    <row r="35" spans="10:11" ht="15" customHeight="1" thickBot="1" x14ac:dyDescent="0.35">
      <c r="J35" s="288" t="s">
        <v>518</v>
      </c>
      <c r="K35" s="283"/>
    </row>
    <row r="36" spans="10:11" ht="15" customHeight="1" x14ac:dyDescent="0.3">
      <c r="J36" s="252" t="s">
        <v>500</v>
      </c>
      <c r="K36" s="239"/>
    </row>
    <row r="37" spans="10:11" ht="15" customHeight="1" x14ac:dyDescent="0.3">
      <c r="J37" s="252" t="s">
        <v>488</v>
      </c>
      <c r="K37" s="239"/>
    </row>
    <row r="38" spans="10:11" ht="15" customHeight="1" x14ac:dyDescent="0.3">
      <c r="J38" s="252" t="s">
        <v>489</v>
      </c>
      <c r="K38" s="239"/>
    </row>
    <row r="39" spans="10:11" ht="15" customHeight="1" thickBot="1" x14ac:dyDescent="0.35">
      <c r="J39" s="253" t="s">
        <v>485</v>
      </c>
      <c r="K39" s="241"/>
    </row>
  </sheetData>
  <sheetProtection formatCells="0" formatColumns="0" formatRows="0" insertColumns="0" insertRows="0" insertHyperlinks="0" deleteColumns="0" deleteRows="0" sort="0" autoFilter="0" pivotTables="0"/>
  <mergeCells count="18">
    <mergeCell ref="J35:K35"/>
    <mergeCell ref="G13:H13"/>
    <mergeCell ref="G20:H20"/>
    <mergeCell ref="A14:B14"/>
    <mergeCell ref="J13:K13"/>
    <mergeCell ref="J18:K18"/>
    <mergeCell ref="J22:K22"/>
    <mergeCell ref="J26:K26"/>
    <mergeCell ref="A1:B2"/>
    <mergeCell ref="D1:E2"/>
    <mergeCell ref="G1:H2"/>
    <mergeCell ref="J1:K2"/>
    <mergeCell ref="J29:K29"/>
    <mergeCell ref="J10:K10"/>
    <mergeCell ref="J3:K3"/>
    <mergeCell ref="A3:B3"/>
    <mergeCell ref="D3:E3"/>
    <mergeCell ref="G3:H3"/>
  </mergeCells>
  <dataValidations disablePrompts="1" count="1">
    <dataValidation type="decimal" operator="greaterThan" allowBlank="1" showInputMessage="1" showErrorMessage="1" promptTitle="Numerical Only" sqref="H26" xr:uid="{E7AE77DD-6E8A-4E52-A9DB-608C3392984D}">
      <formula1>0</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761C9B-3C14-41A6-80CA-FB8474FC548A}">
  <sheetPr codeName="Sheet6"/>
  <dimension ref="A1:F30"/>
  <sheetViews>
    <sheetView tabSelected="1" zoomScale="85" zoomScaleNormal="85" workbookViewId="0">
      <selection activeCell="F1" sqref="F1"/>
    </sheetView>
  </sheetViews>
  <sheetFormatPr defaultRowHeight="14.4" x14ac:dyDescent="0.3"/>
  <cols>
    <col min="1" max="1" width="38.33203125" customWidth="1"/>
    <col min="2" max="2" width="13" customWidth="1"/>
    <col min="3" max="3" width="13.21875" customWidth="1"/>
    <col min="4" max="4" width="6" bestFit="1" customWidth="1"/>
    <col min="5" max="5" width="9.77734375" bestFit="1" customWidth="1"/>
    <col min="6" max="6" width="5.109375" bestFit="1" customWidth="1"/>
    <col min="7" max="7" width="5.77734375" bestFit="1" customWidth="1"/>
    <col min="8" max="8" width="9.77734375" bestFit="1" customWidth="1"/>
    <col min="9" max="9" width="5.109375" bestFit="1" customWidth="1"/>
    <col min="10" max="10" width="8.109375" bestFit="1" customWidth="1"/>
    <col min="11" max="11" width="9.77734375" bestFit="1" customWidth="1"/>
    <col min="12" max="12" width="5.109375" bestFit="1" customWidth="1"/>
    <col min="13" max="13" width="6" bestFit="1" customWidth="1"/>
    <col min="14" max="14" width="9.77734375" bestFit="1" customWidth="1"/>
    <col min="15" max="15" width="5.109375" bestFit="1" customWidth="1"/>
    <col min="16" max="16" width="6" bestFit="1" customWidth="1"/>
    <col min="17" max="17" width="9.77734375" bestFit="1" customWidth="1"/>
    <col min="18" max="18" width="5.109375" bestFit="1" customWidth="1"/>
    <col min="19" max="19" width="6" bestFit="1" customWidth="1"/>
    <col min="20" max="20" width="9.77734375" bestFit="1" customWidth="1"/>
    <col min="21" max="21" width="5.109375" bestFit="1" customWidth="1"/>
    <col min="22" max="22" width="6" bestFit="1" customWidth="1"/>
    <col min="23" max="23" width="9.77734375" bestFit="1" customWidth="1"/>
    <col min="24" max="24" width="5.109375" bestFit="1" customWidth="1"/>
    <col min="25" max="25" width="6" bestFit="1" customWidth="1"/>
    <col min="26" max="26" width="9.77734375" bestFit="1" customWidth="1"/>
    <col min="27" max="27" width="5.109375" bestFit="1" customWidth="1"/>
    <col min="28" max="28" width="6" bestFit="1" customWidth="1"/>
    <col min="29" max="29" width="9.77734375" bestFit="1" customWidth="1"/>
    <col min="30" max="30" width="5.109375" bestFit="1" customWidth="1"/>
    <col min="31" max="31" width="6" bestFit="1" customWidth="1"/>
    <col min="32" max="32" width="9.77734375" bestFit="1" customWidth="1"/>
    <col min="33" max="33" width="5.109375" bestFit="1" customWidth="1"/>
    <col min="34" max="34" width="6" bestFit="1" customWidth="1"/>
    <col min="35" max="35" width="9.77734375" bestFit="1" customWidth="1"/>
    <col min="36" max="36" width="5.109375" bestFit="1" customWidth="1"/>
    <col min="37" max="37" width="6" bestFit="1" customWidth="1"/>
    <col min="38" max="38" width="9.77734375" bestFit="1" customWidth="1"/>
    <col min="39" max="39" width="5.109375" bestFit="1" customWidth="1"/>
    <col min="40" max="40" width="6" bestFit="1" customWidth="1"/>
    <col min="41" max="41" width="9.77734375" bestFit="1" customWidth="1"/>
    <col min="42" max="42" width="5.109375" bestFit="1" customWidth="1"/>
    <col min="43" max="43" width="6" bestFit="1" customWidth="1"/>
    <col min="44" max="44" width="9.77734375" bestFit="1" customWidth="1"/>
    <col min="45" max="45" width="5.109375" bestFit="1" customWidth="1"/>
    <col min="46" max="46" width="6" bestFit="1" customWidth="1"/>
    <col min="47" max="47" width="9.77734375" bestFit="1" customWidth="1"/>
    <col min="48" max="48" width="5.109375" bestFit="1" customWidth="1"/>
    <col min="49" max="49" width="6" bestFit="1" customWidth="1"/>
    <col min="50" max="50" width="9.77734375" bestFit="1" customWidth="1"/>
    <col min="51" max="51" width="5.109375" bestFit="1" customWidth="1"/>
    <col min="52" max="52" width="6" bestFit="1" customWidth="1"/>
    <col min="53" max="53" width="9.77734375" bestFit="1" customWidth="1"/>
    <col min="54" max="54" width="5.109375" bestFit="1" customWidth="1"/>
    <col min="55" max="55" width="6" bestFit="1" customWidth="1"/>
    <col min="56" max="56" width="9.77734375" bestFit="1" customWidth="1"/>
    <col min="57" max="57" width="5.109375" bestFit="1" customWidth="1"/>
    <col min="58" max="58" width="6" bestFit="1" customWidth="1"/>
    <col min="59" max="59" width="9.77734375" bestFit="1" customWidth="1"/>
    <col min="60" max="60" width="5.109375" bestFit="1" customWidth="1"/>
    <col min="61" max="61" width="6" bestFit="1" customWidth="1"/>
    <col min="62" max="62" width="9.77734375" bestFit="1" customWidth="1"/>
    <col min="63" max="63" width="5.109375" bestFit="1" customWidth="1"/>
    <col min="64" max="64" width="6" bestFit="1" customWidth="1"/>
    <col min="65" max="65" width="9.77734375" bestFit="1" customWidth="1"/>
    <col min="66" max="66" width="5.109375" bestFit="1" customWidth="1"/>
    <col min="67" max="67" width="6" bestFit="1" customWidth="1"/>
    <col min="68" max="68" width="9.77734375" bestFit="1" customWidth="1"/>
    <col min="69" max="69" width="5.109375" bestFit="1" customWidth="1"/>
    <col min="70" max="70" width="6" bestFit="1" customWidth="1"/>
    <col min="71" max="71" width="9.77734375" bestFit="1" customWidth="1"/>
    <col min="72" max="72" width="5.109375" bestFit="1" customWidth="1"/>
    <col min="73" max="73" width="6" bestFit="1" customWidth="1"/>
    <col min="74" max="74" width="9.77734375" bestFit="1" customWidth="1"/>
    <col min="75" max="75" width="5.109375" bestFit="1" customWidth="1"/>
    <col min="76" max="76" width="6" bestFit="1" customWidth="1"/>
    <col min="77" max="77" width="9.77734375" bestFit="1" customWidth="1"/>
    <col min="78" max="78" width="5.109375" bestFit="1" customWidth="1"/>
    <col min="79" max="79" width="6" bestFit="1" customWidth="1"/>
    <col min="80" max="80" width="9.77734375" bestFit="1" customWidth="1"/>
    <col min="81" max="81" width="5.109375" bestFit="1" customWidth="1"/>
    <col min="82" max="82" width="6" bestFit="1" customWidth="1"/>
    <col min="83" max="83" width="9.77734375" bestFit="1" customWidth="1"/>
    <col min="84" max="84" width="5.109375" bestFit="1" customWidth="1"/>
    <col min="85" max="85" width="6" bestFit="1" customWidth="1"/>
    <col min="86" max="86" width="9.77734375" bestFit="1" customWidth="1"/>
    <col min="87" max="87" width="5.109375" bestFit="1" customWidth="1"/>
    <col min="88" max="88" width="6" bestFit="1" customWidth="1"/>
    <col min="89" max="89" width="9.77734375" bestFit="1" customWidth="1"/>
    <col min="90" max="90" width="5.109375" bestFit="1" customWidth="1"/>
    <col min="91" max="91" width="6" bestFit="1" customWidth="1"/>
    <col min="92" max="92" width="9.77734375" bestFit="1" customWidth="1"/>
    <col min="93" max="93" width="5.109375" bestFit="1" customWidth="1"/>
    <col min="94" max="94" width="6" bestFit="1" customWidth="1"/>
    <col min="95" max="95" width="9.77734375" bestFit="1" customWidth="1"/>
    <col min="96" max="96" width="5.109375" bestFit="1" customWidth="1"/>
    <col min="97" max="97" width="6" bestFit="1" customWidth="1"/>
    <col min="98" max="98" width="9.77734375" bestFit="1" customWidth="1"/>
    <col min="99" max="99" width="5.109375" bestFit="1" customWidth="1"/>
    <col min="100" max="100" width="6" bestFit="1" customWidth="1"/>
    <col min="101" max="101" width="9.77734375" bestFit="1" customWidth="1"/>
    <col min="102" max="102" width="5.109375" bestFit="1" customWidth="1"/>
    <col min="103" max="103" width="6" bestFit="1" customWidth="1"/>
    <col min="104" max="104" width="9.77734375" bestFit="1" customWidth="1"/>
    <col min="105" max="105" width="5.109375" bestFit="1" customWidth="1"/>
    <col min="106" max="106" width="6" bestFit="1" customWidth="1"/>
    <col min="107" max="107" width="9.77734375" bestFit="1" customWidth="1"/>
    <col min="108" max="108" width="5.109375" bestFit="1" customWidth="1"/>
    <col min="109" max="109" width="6" bestFit="1" customWidth="1"/>
    <col min="110" max="110" width="9.77734375" bestFit="1" customWidth="1"/>
    <col min="111" max="111" width="5.109375" bestFit="1" customWidth="1"/>
    <col min="112" max="112" width="6" bestFit="1" customWidth="1"/>
    <col min="113" max="113" width="9.77734375" bestFit="1" customWidth="1"/>
    <col min="114" max="114" width="5.109375" bestFit="1" customWidth="1"/>
    <col min="115" max="115" width="6" bestFit="1" customWidth="1"/>
    <col min="116" max="116" width="9.77734375" bestFit="1" customWidth="1"/>
    <col min="117" max="117" width="5.109375" bestFit="1" customWidth="1"/>
    <col min="118" max="118" width="6" bestFit="1" customWidth="1"/>
    <col min="119" max="119" width="9.77734375" bestFit="1" customWidth="1"/>
    <col min="120" max="120" width="5.109375" bestFit="1" customWidth="1"/>
    <col min="121" max="121" width="6" bestFit="1" customWidth="1"/>
    <col min="122" max="122" width="9.77734375" bestFit="1" customWidth="1"/>
    <col min="123" max="123" width="5.109375" bestFit="1" customWidth="1"/>
    <col min="124" max="124" width="6" bestFit="1" customWidth="1"/>
    <col min="125" max="125" width="9.77734375" bestFit="1" customWidth="1"/>
    <col min="126" max="126" width="5.109375" bestFit="1" customWidth="1"/>
    <col min="127" max="127" width="6" bestFit="1" customWidth="1"/>
    <col min="128" max="128" width="9.77734375" bestFit="1" customWidth="1"/>
    <col min="129" max="129" width="5.109375" bestFit="1" customWidth="1"/>
    <col min="130" max="130" width="6" bestFit="1" customWidth="1"/>
    <col min="131" max="131" width="9.77734375" bestFit="1" customWidth="1"/>
    <col min="132" max="132" width="5.109375" bestFit="1" customWidth="1"/>
    <col min="133" max="133" width="6" bestFit="1" customWidth="1"/>
    <col min="134" max="134" width="9.77734375" bestFit="1" customWidth="1"/>
    <col min="135" max="135" width="5.109375" bestFit="1" customWidth="1"/>
    <col min="136" max="136" width="6" bestFit="1" customWidth="1"/>
    <col min="137" max="137" width="9.77734375" bestFit="1" customWidth="1"/>
    <col min="138" max="138" width="5.109375" bestFit="1" customWidth="1"/>
    <col min="139" max="139" width="6" bestFit="1" customWidth="1"/>
    <col min="140" max="140" width="9.77734375" bestFit="1" customWidth="1"/>
    <col min="141" max="141" width="5.109375" bestFit="1" customWidth="1"/>
    <col min="142" max="142" width="6" bestFit="1" customWidth="1"/>
    <col min="143" max="143" width="9.77734375" bestFit="1" customWidth="1"/>
    <col min="144" max="144" width="5.109375" bestFit="1" customWidth="1"/>
    <col min="145" max="145" width="6" bestFit="1" customWidth="1"/>
    <col min="146" max="146" width="9.77734375" bestFit="1" customWidth="1"/>
    <col min="147" max="147" width="5.109375" bestFit="1" customWidth="1"/>
    <col min="148" max="148" width="6" bestFit="1" customWidth="1"/>
    <col min="149" max="149" width="9.77734375" bestFit="1" customWidth="1"/>
    <col min="150" max="150" width="5.109375" bestFit="1" customWidth="1"/>
    <col min="151" max="151" width="6" bestFit="1" customWidth="1"/>
    <col min="152" max="152" width="9.77734375" bestFit="1" customWidth="1"/>
    <col min="153" max="153" width="5.109375" bestFit="1" customWidth="1"/>
  </cols>
  <sheetData>
    <row r="1" spans="1:6" ht="15" thickBot="1" x14ac:dyDescent="0.35">
      <c r="A1" s="259" t="s">
        <v>471</v>
      </c>
      <c r="B1" s="266">
        <v>1</v>
      </c>
      <c r="D1" s="291" t="s">
        <v>472</v>
      </c>
      <c r="E1" s="292"/>
      <c r="F1">
        <v>7</v>
      </c>
    </row>
    <row r="2" spans="1:6" ht="15" thickBot="1" x14ac:dyDescent="0.35">
      <c r="A2" s="288" t="s">
        <v>520</v>
      </c>
      <c r="B2" s="283"/>
      <c r="D2" s="291" t="s">
        <v>473</v>
      </c>
      <c r="E2" s="292"/>
      <c r="F2" s="292"/>
    </row>
    <row r="3" spans="1:6" x14ac:dyDescent="0.3">
      <c r="A3" s="264" t="s">
        <v>295</v>
      </c>
      <c r="B3" s="245" t="s">
        <v>519</v>
      </c>
      <c r="D3" s="66" t="s">
        <v>476</v>
      </c>
      <c r="E3" s="66">
        <f>SUM($E$5:$E$30)</f>
        <v>0</v>
      </c>
      <c r="F3" s="66">
        <f>SUM($F$5:$F$30)</f>
        <v>0</v>
      </c>
    </row>
    <row r="4" spans="1:6" x14ac:dyDescent="0.3">
      <c r="A4" s="260" t="s">
        <v>296</v>
      </c>
      <c r="B4" s="245" t="s">
        <v>519</v>
      </c>
      <c r="D4" s="265" t="s">
        <v>474</v>
      </c>
      <c r="E4" s="265" t="s">
        <v>106</v>
      </c>
      <c r="F4" s="265" t="s">
        <v>475</v>
      </c>
    </row>
    <row r="5" spans="1:6" x14ac:dyDescent="0.3">
      <c r="A5" s="260" t="s">
        <v>297</v>
      </c>
      <c r="B5" s="245" t="s">
        <v>519</v>
      </c>
      <c r="D5" s="293" t="s">
        <v>527</v>
      </c>
      <c r="E5" s="267"/>
      <c r="F5" s="267"/>
    </row>
    <row r="6" spans="1:6" x14ac:dyDescent="0.3">
      <c r="A6" s="260" t="s">
        <v>298</v>
      </c>
      <c r="B6" s="239" cm="1">
        <f t="array" ref="B6">SUMPRODUCT((MOD(COLUMN(F3:ZZ3)-COLUMN(F3),3)=0)*F3:ZZ3)/1000</f>
        <v>0</v>
      </c>
      <c r="D6" s="293" t="s">
        <v>528</v>
      </c>
      <c r="E6" s="267"/>
      <c r="F6" s="267"/>
    </row>
    <row r="7" spans="1:6" x14ac:dyDescent="0.3">
      <c r="A7" s="261" t="s">
        <v>383</v>
      </c>
      <c r="B7" s="245"/>
      <c r="D7" s="293" t="s">
        <v>529</v>
      </c>
      <c r="E7" s="267"/>
      <c r="F7" s="267"/>
    </row>
    <row r="8" spans="1:6" x14ac:dyDescent="0.3">
      <c r="A8" s="260" t="s">
        <v>299</v>
      </c>
      <c r="B8" s="239" cm="1">
        <f t="array" ref="B8">IF(SUMPRODUCT((MOD(COLUMN(F3:ZZ3)-COLUMN(F3),3)=0)*F3:ZZ3)=0,0,IF(SUMPRODUCT((MOD(COLUMN(F3:ZZ3)-COLUMN(F3),3)=0)*F3:ZZ3)/500&gt;25,SUMPRODUCT((MOD(COLUMN(F3:ZZ3)-COLUMN(F3),3)=0)*F3:ZZ3)/500,25))</f>
        <v>0</v>
      </c>
      <c r="D8" s="294"/>
      <c r="E8" s="294"/>
      <c r="F8" s="294"/>
    </row>
    <row r="9" spans="1:6" x14ac:dyDescent="0.3">
      <c r="A9" s="261" t="s">
        <v>384</v>
      </c>
      <c r="B9" s="245"/>
      <c r="D9" s="294"/>
      <c r="E9" s="294"/>
      <c r="F9" s="294"/>
    </row>
    <row r="10" spans="1:6" x14ac:dyDescent="0.3">
      <c r="A10" s="260" t="s">
        <v>101</v>
      </c>
      <c r="B10" s="245" t="s">
        <v>519</v>
      </c>
      <c r="D10" s="294"/>
      <c r="E10" s="294"/>
      <c r="F10" s="294"/>
    </row>
    <row r="11" spans="1:6" x14ac:dyDescent="0.3">
      <c r="A11" s="260" t="s">
        <v>102</v>
      </c>
      <c r="B11" s="245" t="s">
        <v>519</v>
      </c>
      <c r="D11" s="294"/>
      <c r="E11" s="294"/>
      <c r="F11" s="294"/>
    </row>
    <row r="12" spans="1:6" x14ac:dyDescent="0.3">
      <c r="A12" s="260" t="s">
        <v>103</v>
      </c>
      <c r="B12" s="245" t="s">
        <v>519</v>
      </c>
      <c r="D12" s="294"/>
      <c r="E12" s="294"/>
      <c r="F12" s="294"/>
    </row>
    <row r="13" spans="1:6" x14ac:dyDescent="0.3">
      <c r="A13" s="260" t="s">
        <v>278</v>
      </c>
      <c r="B13" s="245" t="s">
        <v>519</v>
      </c>
      <c r="D13" s="294"/>
      <c r="E13" s="294"/>
      <c r="F13" s="294"/>
    </row>
    <row r="14" spans="1:6" x14ac:dyDescent="0.3">
      <c r="A14" s="260" t="s">
        <v>104</v>
      </c>
      <c r="B14" s="239" cm="1">
        <f t="array" ref="B14">SUMPRODUCT((MOD(COLUMN(F3:ZZ3)-COLUMN(F3),3)=0)*F3:ZZ3)/1500</f>
        <v>0</v>
      </c>
      <c r="D14" s="294"/>
      <c r="E14" s="294"/>
      <c r="F14" s="294"/>
    </row>
    <row r="15" spans="1:6" ht="15" thickBot="1" x14ac:dyDescent="0.35">
      <c r="A15" s="262" t="s">
        <v>387</v>
      </c>
      <c r="B15" s="263"/>
      <c r="D15" s="294"/>
      <c r="E15" s="294"/>
      <c r="F15" s="294"/>
    </row>
    <row r="16" spans="1:6" x14ac:dyDescent="0.3">
      <c r="D16" s="294"/>
      <c r="E16" s="294"/>
      <c r="F16" s="294"/>
    </row>
    <row r="17" spans="4:6" x14ac:dyDescent="0.3">
      <c r="D17" s="294"/>
      <c r="E17" s="294"/>
      <c r="F17" s="294"/>
    </row>
    <row r="18" spans="4:6" x14ac:dyDescent="0.3">
      <c r="D18" s="294"/>
      <c r="E18" s="294"/>
      <c r="F18" s="294"/>
    </row>
    <row r="19" spans="4:6" x14ac:dyDescent="0.3">
      <c r="D19" s="294"/>
      <c r="E19" s="294"/>
      <c r="F19" s="294"/>
    </row>
    <row r="20" spans="4:6" x14ac:dyDescent="0.3">
      <c r="D20" s="294"/>
      <c r="E20" s="294"/>
      <c r="F20" s="294"/>
    </row>
    <row r="21" spans="4:6" x14ac:dyDescent="0.3">
      <c r="D21" s="294"/>
      <c r="E21" s="294"/>
      <c r="F21" s="294"/>
    </row>
    <row r="22" spans="4:6" x14ac:dyDescent="0.3">
      <c r="D22" s="294"/>
      <c r="E22" s="294"/>
      <c r="F22" s="294"/>
    </row>
    <row r="23" spans="4:6" x14ac:dyDescent="0.3">
      <c r="D23" s="294"/>
      <c r="E23" s="294"/>
      <c r="F23" s="294"/>
    </row>
    <row r="24" spans="4:6" x14ac:dyDescent="0.3">
      <c r="D24" s="294"/>
      <c r="E24" s="294"/>
      <c r="F24" s="294"/>
    </row>
    <row r="25" spans="4:6" x14ac:dyDescent="0.3">
      <c r="D25" s="294"/>
      <c r="E25" s="294"/>
      <c r="F25" s="294"/>
    </row>
    <row r="26" spans="4:6" x14ac:dyDescent="0.3">
      <c r="D26" s="294"/>
      <c r="E26" s="294"/>
      <c r="F26" s="294"/>
    </row>
    <row r="27" spans="4:6" x14ac:dyDescent="0.3">
      <c r="D27" s="294"/>
      <c r="E27" s="294"/>
      <c r="F27" s="294"/>
    </row>
    <row r="28" spans="4:6" x14ac:dyDescent="0.3">
      <c r="D28" s="294"/>
      <c r="E28" s="294"/>
      <c r="F28" s="294"/>
    </row>
    <row r="29" spans="4:6" x14ac:dyDescent="0.3">
      <c r="D29" s="294"/>
      <c r="E29" s="294"/>
      <c r="F29" s="294"/>
    </row>
    <row r="30" spans="4:6" x14ac:dyDescent="0.3">
      <c r="D30" s="294"/>
      <c r="E30" s="294"/>
      <c r="F30" s="294"/>
    </row>
  </sheetData>
  <mergeCells count="3">
    <mergeCell ref="A2:B2"/>
    <mergeCell ref="D2:F2"/>
    <mergeCell ref="D1:E1"/>
  </mergeCells>
  <dataValidations count="3">
    <dataValidation type="decimal" operator="greaterThan" allowBlank="1" showInputMessage="1" showErrorMessage="1" promptTitle="Numerical Only" sqref="B48" xr:uid="{04378E45-638B-4F2E-87EB-AC5DC4AA0757}">
      <formula1>0</formula1>
    </dataValidation>
    <dataValidation type="list" allowBlank="1" showInputMessage="1" showErrorMessage="1" sqref="R3 I3 V1 DY1 EE1 EN1 EH1 AH1 EW1 J1 EQ1 ET1 EK1 EB1 DV1 DS1 DP1 DM1 DJ1 DG1 DD1 DA1 CX1 CU1 CR1" xr:uid="{786C7929-1874-40CC-B033-392302CBB885}">
      <formula1>"1,2,3,4,5,6,7,8,9,10"</formula1>
    </dataValidation>
    <dataValidation type="list" allowBlank="1" showInputMessage="1" showErrorMessage="1" sqref="AD1 O1 CO1 L1 I1 R1 U1 X1 AA1 AG1 AJ1 AM1 AP1 AS1 AV1 AY1 BB1 BE1 BH1 BK1 BN1 BQ1 BT1 BW1 BZ1 CC1 CF1 CI1 CL1 F1" xr:uid="{477B0479-643F-4C09-A063-0665D6FE0CBB}">
      <formula1>"1,2,3,4,5,6,7,8,9,10,11,12,13,14,15,16,17,18,19,20,21,22,23,24,25,26,27,28,29,30"</formula1>
    </dataValidation>
  </dataValidation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BUDGET</vt:lpstr>
      <vt:lpstr>MATERIALS PROVIDED</vt:lpstr>
      <vt:lpstr>DATA</vt:lpstr>
      <vt:lpstr>LISTS</vt:lpstr>
      <vt:lpstr>BUILDING 1 (Old)</vt:lpstr>
      <vt:lpstr>PROJECT SUMMARY (Old)</vt:lpstr>
      <vt:lpstr>PROJECT SUMMARY New</vt:lpstr>
      <vt:lpstr>BUILDING 1 New</vt:lpstr>
      <vt:lpstr>BUDGET!Print_Area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JP Patenaude, CPA</dc:creator>
  <cp:lastModifiedBy>Greg Munos</cp:lastModifiedBy>
  <dcterms:created xsi:type="dcterms:W3CDTF">2023-11-08T21:30:02Z</dcterms:created>
  <dcterms:modified xsi:type="dcterms:W3CDTF">2025-06-04T20:21:02Z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e184b86-e3ed-43cd-9cbb-bae90556403e_Enabled">
    <vt:lpwstr>true</vt:lpwstr>
  </property>
  <property fmtid="{D5CDD505-2E9C-101B-9397-08002B2CF9AE}" pid="3" name="MSIP_Label_6e184b86-e3ed-43cd-9cbb-bae90556403e_SetDate">
    <vt:lpwstr>2025-05-01T19:47:44Z</vt:lpwstr>
  </property>
  <property fmtid="{D5CDD505-2E9C-101B-9397-08002B2CF9AE}" pid="4" name="MSIP_Label_6e184b86-e3ed-43cd-9cbb-bae90556403e_Method">
    <vt:lpwstr>Standard</vt:lpwstr>
  </property>
  <property fmtid="{D5CDD505-2E9C-101B-9397-08002B2CF9AE}" pid="5" name="MSIP_Label_6e184b86-e3ed-43cd-9cbb-bae90556403e_Name">
    <vt:lpwstr>S2000</vt:lpwstr>
  </property>
  <property fmtid="{D5CDD505-2E9C-101B-9397-08002B2CF9AE}" pid="6" name="MSIP_Label_6e184b86-e3ed-43cd-9cbb-bae90556403e_SiteId">
    <vt:lpwstr>825140ea-cb53-4b5e-ad93-cbd621b816cc</vt:lpwstr>
  </property>
  <property fmtid="{D5CDD505-2E9C-101B-9397-08002B2CF9AE}" pid="7" name="MSIP_Label_6e184b86-e3ed-43cd-9cbb-bae90556403e_ActionId">
    <vt:lpwstr>f3967ecf-0889-40e0-a22d-f0453e8db521</vt:lpwstr>
  </property>
  <property fmtid="{D5CDD505-2E9C-101B-9397-08002B2CF9AE}" pid="8" name="MSIP_Label_6e184b86-e3ed-43cd-9cbb-bae90556403e_ContentBits">
    <vt:lpwstr>0</vt:lpwstr>
  </property>
  <property fmtid="{D5CDD505-2E9C-101B-9397-08002B2CF9AE}" pid="9" name="MSIP_Label_6e184b86-e3ed-43cd-9cbb-bae90556403e_Tag">
    <vt:lpwstr>10, 3, 0, 1</vt:lpwstr>
  </property>
</Properties>
</file>